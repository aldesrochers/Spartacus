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Bersfort-Creep" sheetId="1" state="visible" r:id="rId2"/>
    <sheet name="Bersfort-SS" sheetId="2" state="visible" r:id="rId3"/>
    <sheet name="Sheet3" sheetId="3" state="visible" r:id="rId4"/>
    <sheet name="Sheet4" sheetId="4" state="visible" r:id="rId5"/>
    <sheet name="Feuil1" sheetId="5" state="visible" r:id="rId6"/>
    <sheet name="Feuil2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<sst xmlns="http://schemas.openxmlformats.org/spreadsheetml/2006/main" count="317" uniqueCount="114">
  <si>
    <t xml:space="preserve">lbs</t>
  </si>
  <si>
    <t xml:space="preserve">in2</t>
  </si>
  <si>
    <t xml:space="preserve">a</t>
  </si>
  <si>
    <t xml:space="preserve">b</t>
  </si>
  <si>
    <t xml:space="preserve">Eps</t>
  </si>
  <si>
    <t xml:space="preserve">Essai</t>
  </si>
  <si>
    <t xml:space="preserve">Equation</t>
  </si>
  <si>
    <t xml:space="preserve">t</t>
  </si>
  <si>
    <t xml:space="preserve">AA</t>
  </si>
  <si>
    <t xml:space="preserve">m2</t>
  </si>
  <si>
    <t xml:space="preserve">CA</t>
  </si>
  <si>
    <t xml:space="preserve">TA</t>
  </si>
  <si>
    <t xml:space="preserve">RBS</t>
  </si>
  <si>
    <t xml:space="preserve">AA/TA</t>
  </si>
  <si>
    <t xml:space="preserve">'-</t>
  </si>
  <si>
    <t xml:space="preserve">CA/TA</t>
  </si>
  <si>
    <t xml:space="preserve">Stress * Area Ratio (Mpa) / Strain (%)</t>
  </si>
  <si>
    <t xml:space="preserve">Stress (Pa) / Strain (%)</t>
  </si>
  <si>
    <t xml:space="preserve">Stress (Pa) / Strain (m/m)</t>
  </si>
  <si>
    <t xml:space="preserve">Stress (Pa) / Strain (m/m)/Ei</t>
  </si>
  <si>
    <t xml:space="preserve">Core</t>
  </si>
  <si>
    <t xml:space="preserve">Aluminium</t>
  </si>
  <si>
    <t xml:space="preserve">Composite</t>
  </si>
  <si>
    <t xml:space="preserve">A0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</si>
  <si>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</si>
  <si>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</si>
  <si>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</si>
  <si>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</si>
  <si>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</si>
  <si>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</si>
  <si>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E</t>
  </si>
  <si>
    <t xml:space="preserve">Tests</t>
  </si>
  <si>
    <t xml:space="preserve">Eps1</t>
  </si>
  <si>
    <t xml:space="preserve">Eps2</t>
  </si>
  <si>
    <t xml:space="preserve">EpsCr</t>
  </si>
  <si>
    <t xml:space="preserve">SigAcier</t>
  </si>
  <si>
    <t xml:space="preserve">SigAlu</t>
  </si>
  <si>
    <t xml:space="preserve">ForceAcier</t>
  </si>
  <si>
    <t xml:space="preserve">ForceAlu</t>
  </si>
  <si>
    <t xml:space="preserve">ForceTotal</t>
  </si>
  <si>
    <t xml:space="preserve">SigMoy</t>
  </si>
  <si>
    <t xml:space="preserve">R</t>
  </si>
  <si>
    <t xml:space="preserve">Pa</t>
  </si>
  <si>
    <t xml:space="preserve">h</t>
  </si>
  <si>
    <t xml:space="preserve">m/m</t>
  </si>
  <si>
    <t xml:space="preserve">N</t>
  </si>
  <si>
    <t xml:space="preserve">SigT</t>
  </si>
  <si>
    <t xml:space="preserve">EpsT</t>
  </si>
  <si>
    <t xml:space="preserve">Ecr</t>
  </si>
  <si>
    <t xml:space="preserve">Ecr(Model)</t>
  </si>
  <si>
    <t xml:space="preserve">Sig</t>
  </si>
  <si>
    <t xml:space="preserve">f1</t>
  </si>
  <si>
    <t xml:space="preserve">f2</t>
  </si>
  <si>
    <t xml:space="preserve">c</t>
  </si>
  <si>
    <t xml:space="preserve">d</t>
  </si>
  <si>
    <t xml:space="preserve">alpha</t>
  </si>
  <si>
    <t xml:space="preserve">mu</t>
  </si>
  <si>
    <t xml:space="preserve">K</t>
  </si>
  <si>
    <t xml:space="preserve">phi</t>
  </si>
  <si>
    <t xml:space="preserve">t0</t>
  </si>
  <si>
    <t xml:space="preserve">dt</t>
  </si>
  <si>
    <t xml:space="preserve">Temp</t>
  </si>
  <si>
    <t xml:space="preserve">Sig0</t>
  </si>
  <si>
    <t xml:space="preserve">f3</t>
  </si>
  <si>
    <t xml:space="preserve">teq</t>
  </si>
  <si>
    <t xml:space="preserve">tc</t>
  </si>
  <si>
    <t xml:space="preserve">EpsCR</t>
  </si>
  <si>
    <t xml:space="preserve">dEps</t>
  </si>
  <si>
    <t xml:space="preserve">Celcius</t>
  </si>
  <si>
    <t xml:space="preserve">-</t>
  </si>
  <si>
    <t xml:space="preserve">CableWire2</t>
  </si>
  <si>
    <t xml:space="preserve">a1</t>
  </si>
  <si>
    <t xml:space="preserve">a2</t>
  </si>
  <si>
    <t xml:space="preserve">a3</t>
  </si>
  <si>
    <t xml:space="preserve">b1</t>
  </si>
  <si>
    <t xml:space="preserve">b2</t>
  </si>
  <si>
    <t xml:space="preserve">b3</t>
  </si>
  <si>
    <t xml:space="preserve">Ec</t>
  </si>
  <si>
    <t xml:space="preserve">Fyc</t>
  </si>
  <si>
    <t xml:space="preserve">EpsYc</t>
  </si>
  <si>
    <t xml:space="preserve">dSig/dEps</t>
  </si>
  <si>
    <t xml:space="preserve">Eps0</t>
  </si>
  <si>
    <t xml:space="preserve">Eps*</t>
  </si>
  <si>
    <t xml:space="preserve">Sig*</t>
  </si>
  <si>
    <t xml:space="preserve">Time</t>
  </si>
  <si>
    <t xml:space="preserve">d/dSig1</t>
  </si>
  <si>
    <t xml:space="preserve">d/dSig2</t>
  </si>
  <si>
    <t xml:space="preserve">0.00101155</t>
  </si>
  <si>
    <t xml:space="preserve">0.0010138</t>
  </si>
  <si>
    <t xml:space="preserve">0.00131029</t>
  </si>
  <si>
    <t xml:space="preserve">0.00131309</t>
  </si>
  <si>
    <t xml:space="preserve">0.00146477</t>
  </si>
  <si>
    <t xml:space="preserve">0.00146783</t>
  </si>
  <si>
    <t xml:space="preserve">0.00163745</t>
  </si>
  <si>
    <t xml:space="preserve">0.0016408</t>
  </si>
  <si>
    <t xml:space="preserve">0.00174775</t>
  </si>
  <si>
    <t xml:space="preserve">0.00175129</t>
  </si>
  <si>
    <t xml:space="preserve">0.00183049</t>
  </si>
  <si>
    <t xml:space="preserve">0.00183416</t>
  </si>
  <si>
    <t xml:space="preserve">0.00189736</t>
  </si>
  <si>
    <t xml:space="preserve">0.00190114</t>
  </si>
  <si>
    <t xml:space="preserve">0.0019538</t>
  </si>
  <si>
    <t xml:space="preserve">0.00195767</t>
  </si>
  <si>
    <t xml:space="preserve">0.00207637</t>
  </si>
  <si>
    <t xml:space="preserve">0.00208043</t>
  </si>
  <si>
    <t xml:space="preserve">0.00300666</t>
  </si>
  <si>
    <t xml:space="preserve">0.00301213</t>
  </si>
  <si>
    <t xml:space="preserve">*Eps1 -&gt; CableWire01</t>
  </si>
  <si>
    <t xml:space="preserve">*Eps2 -&gt; CableWire02</t>
  </si>
  <si>
    <t xml:space="preserve">EpsR</t>
  </si>
  <si>
    <t xml:space="preserve">SigR</t>
  </si>
  <si>
    <t xml:space="preserve">Sig1</t>
  </si>
  <si>
    <t xml:space="preserve">E1</t>
  </si>
  <si>
    <t xml:space="preserve">MenegottoPinto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</si>
</sst>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E+00"/>
    <numFmt numFmtId="166" formatCode="0.00E+00"/>
    <numFmt numFmtId="167" formatCode="General"/>
  </numFmts>
  <fonts count="20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CC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006600"/>
      <name val="Arial"/>
      <family val="0"/>
      <charset val="1"/>
    </font>
    <font>
      <sz val="18"/>
      <color rgb="FF000000"/>
      <name val="Arial"/>
      <family val="0"/>
      <charset val="1"/>
    </font>
    <font>
      <b val="true"/>
      <sz val="24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u val="single"/>
      <sz val="10"/>
      <color rgb="FF0000EE"/>
      <name val="Arial"/>
      <family val="0"/>
      <charset val="1"/>
    </font>
    <font>
      <sz val="10"/>
      <color rgb="FF996600"/>
      <name val="Arial"/>
      <family val="0"/>
      <charset val="1"/>
    </font>
    <font>
      <b val="true"/>
      <i val="true"/>
      <u val="single"/>
      <sz val="10"/>
      <color rgb="FF000000"/>
      <name val="Arial"/>
      <family val="0"/>
      <charset val="1"/>
    </font>
    <font>
      <sz val="10"/>
      <color rgb="FF000000"/>
      <name val="Calibri"/>
      <family val="2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595959"/>
      </patternFill>
    </fill>
    <fill>
      <patternFill patternType="solid">
        <fgColor rgb="FFDDDDDD"/>
        <bgColor rgb="FFD9D9D9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CC0000"/>
      </patternFill>
    </fill>
  </fills>
  <borders count="1">
    <border diagonalUp="false" diagonalDown="false">
      <left/>
      <right/>
      <top/>
      <bottom/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9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9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Bad 8" xfId="24"/>
    <cellStyle name="Error 9" xfId="25"/>
    <cellStyle name="Footnote 10" xfId="26"/>
    <cellStyle name="Good 11" xfId="27"/>
    <cellStyle name="Heading 1 13" xfId="28"/>
    <cellStyle name="Heading 12" xfId="29"/>
    <cellStyle name="Heading 2 14" xfId="30"/>
    <cellStyle name="Hyperlink 15" xfId="31"/>
    <cellStyle name="Neutral 16" xfId="32"/>
    <cellStyle name="Result 17" xfId="33"/>
    <cellStyle name="Status 18" xfId="34"/>
    <cellStyle name="Text 19" xfId="35"/>
    <cellStyle name="Warning 20" xfId="36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BFBFBF"/>
      <rgbColor rgb="FF808080"/>
      <rgbColor rgb="FF9999FF"/>
      <rgbColor rgb="FF993366"/>
      <rgbColor rgb="FFFFFFCC"/>
      <rgbColor rgb="FFDDDDD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4472C4"/>
      <rgbColor rgb="FF33CCCC"/>
      <rgbColor rgb="FF99CC00"/>
      <rgbColor rgb="FFFFD320"/>
      <rgbColor rgb="FFFF9900"/>
      <rgbColor rgb="FFED7D31"/>
      <rgbColor rgb="FF595959"/>
      <rgbColor rgb="FFB3B3B3"/>
      <rgbColor rgb="FF004586"/>
      <rgbColor rgb="FF339966"/>
      <rgbColor rgb="FF003300"/>
      <rgbColor rgb="FF333300"/>
      <rgbColor rgb="FFFF420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7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'Bersfort-Creep'!$A$5:$A$8</c:f>
              <c:numCache>
                <c:formatCode>General</c:formatCode>
                <c:ptCount val="4"/>
                <c:pt idx="0">
                  <c:v>0</c:v>
                </c:pt>
                <c:pt idx="1">
                  <c:v>60193835.7669139</c:v>
                </c:pt>
                <c:pt idx="2">
                  <c:v>96310137.2270623</c:v>
                </c:pt>
                <c:pt idx="3">
                  <c:v>168542740.147359</c:v>
                </c:pt>
              </c:numCache>
            </c:numRef>
          </c:xVal>
          <c:yVal>
            <c:numRef>
              <c:f>'Bersfort-Creep'!$B$5:$B$8</c:f>
              <c:numCache>
                <c:formatCode>General</c:formatCode>
                <c:ptCount val="4"/>
                <c:pt idx="0">
                  <c:v>0</c:v>
                </c:pt>
                <c:pt idx="1">
                  <c:v>4.451E-005</c:v>
                </c:pt>
                <c:pt idx="2">
                  <c:v>7.196E-005</c:v>
                </c:pt>
                <c:pt idx="3">
                  <c:v>0.00039655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7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'Bersfort-Creep'!$A$10:$A$24</c:f>
              <c:numCache>
                <c:formatCode>General</c:formatCode>
                <c:ptCount val="15"/>
                <c:pt idx="0">
                  <c:v>0</c:v>
                </c:pt>
                <c:pt idx="1">
                  <c:v>15000000</c:v>
                </c:pt>
                <c:pt idx="2">
                  <c:v>30000000</c:v>
                </c:pt>
                <c:pt idx="3">
                  <c:v>45000000</c:v>
                </c:pt>
                <c:pt idx="4">
                  <c:v>60000000</c:v>
                </c:pt>
                <c:pt idx="5">
                  <c:v>75000000</c:v>
                </c:pt>
                <c:pt idx="6">
                  <c:v>90000000</c:v>
                </c:pt>
                <c:pt idx="7">
                  <c:v>105000000</c:v>
                </c:pt>
                <c:pt idx="8">
                  <c:v>120000000</c:v>
                </c:pt>
                <c:pt idx="9">
                  <c:v>135000000</c:v>
                </c:pt>
                <c:pt idx="10">
                  <c:v>150000000</c:v>
                </c:pt>
                <c:pt idx="11">
                  <c:v>165000000</c:v>
                </c:pt>
                <c:pt idx="12">
                  <c:v>180000000</c:v>
                </c:pt>
                <c:pt idx="13">
                  <c:v>195000000</c:v>
                </c:pt>
                <c:pt idx="14">
                  <c:v>210000000</c:v>
                </c:pt>
              </c:numCache>
            </c:numRef>
          </c:xVal>
          <c:yVal>
            <c:numRef>
              <c:f>'Bersfort-Creep'!$B$10:$B$24</c:f>
              <c:numCache>
                <c:formatCode>General</c:formatCode>
                <c:ptCount val="15"/>
                <c:pt idx="0">
                  <c:v>0</c:v>
                </c:pt>
                <c:pt idx="1">
                  <c:v>1.10916673027005E-005</c:v>
                </c:pt>
                <c:pt idx="2">
                  <c:v>2.21833346054009E-005</c:v>
                </c:pt>
                <c:pt idx="3">
                  <c:v>3.32750019081013E-005</c:v>
                </c:pt>
                <c:pt idx="4">
                  <c:v>4.43666692108018E-005</c:v>
                </c:pt>
                <c:pt idx="5">
                  <c:v>5.57633452143951E-005</c:v>
                </c:pt>
                <c:pt idx="6">
                  <c:v>6.71640142572742E-005</c:v>
                </c:pt>
                <c:pt idx="7">
                  <c:v>0.000111009438112873</c:v>
                </c:pt>
                <c:pt idx="8">
                  <c:v>0.000178414595938522</c:v>
                </c:pt>
                <c:pt idx="9">
                  <c:v>0.00024581975376417</c:v>
                </c:pt>
                <c:pt idx="10">
                  <c:v>0.000313224911589819</c:v>
                </c:pt>
                <c:pt idx="11">
                  <c:v>0.000380630069415467</c:v>
                </c:pt>
                <c:pt idx="12">
                  <c:v>0.000448035227241116</c:v>
                </c:pt>
                <c:pt idx="13">
                  <c:v>0.000515440385066764</c:v>
                </c:pt>
                <c:pt idx="14">
                  <c:v>0.000582845542892413</c:v>
                </c:pt>
              </c:numCache>
            </c:numRef>
          </c:yVal>
          <c:smooth val="0"/>
        </c:ser>
        <c:axId val="71483883"/>
        <c:axId val="77723831"/>
      </c:scatterChart>
      <c:valAx>
        <c:axId val="714838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723831"/>
        <c:crossesAt val="0"/>
        <c:crossBetween val="midCat"/>
      </c:valAx>
      <c:valAx>
        <c:axId val="77723831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483883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7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'Bersfort-Creep'!$B$7:$B$9</c:f>
              <c:numCache>
                <c:formatCode>General</c:formatCode>
                <c:ptCount val="3"/>
                <c:pt idx="0">
                  <c:v>7.196E-005</c:v>
                </c:pt>
                <c:pt idx="1">
                  <c:v>0.00039655</c:v>
                </c:pt>
              </c:numCache>
            </c:numRef>
          </c:xVal>
          <c:yVal>
            <c:numRef>
              <c:f>'Bersfort-Creep'!$D$7:$D$9</c:f>
              <c:numCache>
                <c:formatCode>General</c:formatCode>
                <c:ptCount val="3"/>
              </c:numCache>
            </c:numRef>
          </c:y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7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'Bersfort-Creep'!$A$10:$A$24</c:f>
              <c:numCache>
                <c:formatCode>General</c:formatCode>
                <c:ptCount val="15"/>
                <c:pt idx="0">
                  <c:v>0</c:v>
                </c:pt>
                <c:pt idx="1">
                  <c:v>15000000</c:v>
                </c:pt>
                <c:pt idx="2">
                  <c:v>30000000</c:v>
                </c:pt>
                <c:pt idx="3">
                  <c:v>45000000</c:v>
                </c:pt>
                <c:pt idx="4">
                  <c:v>60000000</c:v>
                </c:pt>
                <c:pt idx="5">
                  <c:v>75000000</c:v>
                </c:pt>
                <c:pt idx="6">
                  <c:v>90000000</c:v>
                </c:pt>
                <c:pt idx="7">
                  <c:v>105000000</c:v>
                </c:pt>
                <c:pt idx="8">
                  <c:v>120000000</c:v>
                </c:pt>
                <c:pt idx="9">
                  <c:v>135000000</c:v>
                </c:pt>
                <c:pt idx="10">
                  <c:v>150000000</c:v>
                </c:pt>
                <c:pt idx="11">
                  <c:v>165000000</c:v>
                </c:pt>
                <c:pt idx="12">
                  <c:v>180000000</c:v>
                </c:pt>
                <c:pt idx="13">
                  <c:v>195000000</c:v>
                </c:pt>
                <c:pt idx="14">
                  <c:v>210000000</c:v>
                </c:pt>
              </c:numCache>
            </c:numRef>
          </c:xVal>
          <c:yVal>
            <c:numRef>
              <c:f>'Bersfort-Creep'!$C$10:$C$24</c:f>
              <c:numCache>
                <c:formatCode>General</c:formatCode>
                <c:ptCount val="15"/>
                <c:pt idx="0">
                  <c:v>0.202218666666667</c:v>
                </c:pt>
                <c:pt idx="1">
                  <c:v>0.207112440194253</c:v>
                </c:pt>
                <c:pt idx="2">
                  <c:v>0.212006213721839</c:v>
                </c:pt>
                <c:pt idx="3">
                  <c:v>0.216899987249425</c:v>
                </c:pt>
                <c:pt idx="4">
                  <c:v>0.221793760777012</c:v>
                </c:pt>
                <c:pt idx="5">
                  <c:v>0.226687534304598</c:v>
                </c:pt>
                <c:pt idx="6">
                  <c:v>0.231581307832184</c:v>
                </c:pt>
                <c:pt idx="7">
                  <c:v>0.225075807016916</c:v>
                </c:pt>
                <c:pt idx="8">
                  <c:v>0.210292731828856</c:v>
                </c:pt>
                <c:pt idx="9">
                  <c:v>0.195509656640797</c:v>
                </c:pt>
                <c:pt idx="10">
                  <c:v>0.180726581452737</c:v>
                </c:pt>
                <c:pt idx="11">
                  <c:v>0.165943506264678</c:v>
                </c:pt>
                <c:pt idx="12">
                  <c:v>0.151160431076618</c:v>
                </c:pt>
                <c:pt idx="13">
                  <c:v>0.136377355888558</c:v>
                </c:pt>
                <c:pt idx="14">
                  <c:v>0.121594280700499</c:v>
                </c:pt>
              </c:numCache>
            </c:numRef>
          </c:yVal>
          <c:smooth val="0"/>
        </c:ser>
        <c:axId val="5118452"/>
        <c:axId val="66195883"/>
      </c:scatterChart>
      <c:valAx>
        <c:axId val="51184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195883"/>
        <c:crossesAt val="0"/>
        <c:crossBetween val="midCat"/>
      </c:valAx>
      <c:valAx>
        <c:axId val="66195883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8452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7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'Bersfort-Creep'!$A$28:$A$40</c:f>
              <c:numCache>
                <c:formatCode>General</c:formatCode>
                <c:ptCount val="13"/>
                <c:pt idx="0">
                  <c:v>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3000</c:v>
                </c:pt>
                <c:pt idx="6">
                  <c:v>4000</c:v>
                </c:pt>
                <c:pt idx="7">
                  <c:v>5000</c:v>
                </c:pt>
                <c:pt idx="8">
                  <c:v>6000</c:v>
                </c:pt>
                <c:pt idx="9">
                  <c:v>7000</c:v>
                </c:pt>
                <c:pt idx="10">
                  <c:v>8000</c:v>
                </c:pt>
                <c:pt idx="11">
                  <c:v>9000</c:v>
                </c:pt>
                <c:pt idx="12">
                  <c:v>10000</c:v>
                </c:pt>
              </c:numCache>
            </c:numRef>
          </c:xVal>
          <c:yVal>
            <c:numRef>
              <c:f>'Bersfort-Creep'!$B$28:$B$40</c:f>
              <c:numCache>
                <c:formatCode>General</c:formatCode>
                <c:ptCount val="13"/>
                <c:pt idx="0">
                  <c:v>0</c:v>
                </c:pt>
                <c:pt idx="1">
                  <c:v>1.236435865661E-006</c:v>
                </c:pt>
                <c:pt idx="2">
                  <c:v>1.76702617404703E-006</c:v>
                </c:pt>
                <c:pt idx="3">
                  <c:v>2.06076559119398E-006</c:v>
                </c:pt>
                <c:pt idx="4">
                  <c:v>2.40333441814429E-006</c:v>
                </c:pt>
                <c:pt idx="5">
                  <c:v>2.62954909966197E-006</c:v>
                </c:pt>
                <c:pt idx="6">
                  <c:v>2.80284975162577E-006</c:v>
                </c:pt>
                <c:pt idx="7">
                  <c:v>2.94509957155647E-006</c:v>
                </c:pt>
                <c:pt idx="8">
                  <c:v>3.06666895178331E-006</c:v>
                </c:pt>
                <c:pt idx="9">
                  <c:v>3.17336121998762E-006</c:v>
                </c:pt>
                <c:pt idx="10">
                  <c:v>3.26877802393165E-006</c:v>
                </c:pt>
                <c:pt idx="11">
                  <c:v>3.3553202252018E-006</c:v>
                </c:pt>
                <c:pt idx="12">
                  <c:v>3.43467456727223E-006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square"/>
            <c:size val="7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'Bersfort-Creep'!$A$28:$A$40</c:f>
              <c:numCache>
                <c:formatCode>General</c:formatCode>
                <c:ptCount val="13"/>
                <c:pt idx="0">
                  <c:v>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3000</c:v>
                </c:pt>
                <c:pt idx="6">
                  <c:v>4000</c:v>
                </c:pt>
                <c:pt idx="7">
                  <c:v>5000</c:v>
                </c:pt>
                <c:pt idx="8">
                  <c:v>6000</c:v>
                </c:pt>
                <c:pt idx="9">
                  <c:v>7000</c:v>
                </c:pt>
                <c:pt idx="10">
                  <c:v>8000</c:v>
                </c:pt>
                <c:pt idx="11">
                  <c:v>9000</c:v>
                </c:pt>
                <c:pt idx="12">
                  <c:v>10000</c:v>
                </c:pt>
              </c:numCache>
            </c:numRef>
          </c:xVal>
          <c:yVal>
            <c:numRef>
              <c:f>'Bersfort-Creep'!$I$28:$I$40</c:f>
              <c:numCache>
                <c:formatCode>General</c:formatCode>
                <c:ptCount val="13"/>
              </c:numCache>
            </c:numRef>
          </c:yVal>
          <c:smooth val="0"/>
        </c:ser>
        <c:ser>
          <c:idx val="2"/>
          <c:order val="2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7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'Bersfort-Creep'!$A$28:$A$40</c:f>
              <c:numCache>
                <c:formatCode>General</c:formatCode>
                <c:ptCount val="13"/>
                <c:pt idx="0">
                  <c:v>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3000</c:v>
                </c:pt>
                <c:pt idx="6">
                  <c:v>4000</c:v>
                </c:pt>
                <c:pt idx="7">
                  <c:v>5000</c:v>
                </c:pt>
                <c:pt idx="8">
                  <c:v>6000</c:v>
                </c:pt>
                <c:pt idx="9">
                  <c:v>7000</c:v>
                </c:pt>
                <c:pt idx="10">
                  <c:v>8000</c:v>
                </c:pt>
                <c:pt idx="11">
                  <c:v>9000</c:v>
                </c:pt>
                <c:pt idx="12">
                  <c:v>10000</c:v>
                </c:pt>
              </c:numCache>
            </c:numRef>
          </c:xVal>
          <c:yVal>
            <c:numRef>
              <c:f>'Bersfort-Creep'!$C$28:$C$40</c:f>
              <c:numCache>
                <c:formatCode>General</c:formatCode>
                <c:ptCount val="13"/>
                <c:pt idx="0">
                  <c:v>0</c:v>
                </c:pt>
                <c:pt idx="1">
                  <c:v>0.000123645</c:v>
                </c:pt>
                <c:pt idx="2">
                  <c:v>0.000176706</c:v>
                </c:pt>
                <c:pt idx="3">
                  <c:v>0.000206081</c:v>
                </c:pt>
                <c:pt idx="4">
                  <c:v>0.000240339</c:v>
                </c:pt>
                <c:pt idx="5">
                  <c:v>0.000262961</c:v>
                </c:pt>
                <c:pt idx="6">
                  <c:v>0.000280292</c:v>
                </c:pt>
                <c:pt idx="7">
                  <c:v>0.000294517</c:v>
                </c:pt>
                <c:pt idx="8">
                  <c:v>0.000306675</c:v>
                </c:pt>
                <c:pt idx="9">
                  <c:v>0.000317345</c:v>
                </c:pt>
                <c:pt idx="10">
                  <c:v>0.000326887</c:v>
                </c:pt>
                <c:pt idx="11">
                  <c:v>0.000335541</c:v>
                </c:pt>
                <c:pt idx="12">
                  <c:v>0.000343477</c:v>
                </c:pt>
              </c:numCache>
            </c:numRef>
          </c:yVal>
          <c:smooth val="0"/>
        </c:ser>
        <c:axId val="97953007"/>
        <c:axId val="27567834"/>
      </c:scatterChart>
      <c:valAx>
        <c:axId val="979530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567834"/>
        <c:crossesAt val="0"/>
        <c:crossBetween val="midCat"/>
      </c:valAx>
      <c:valAx>
        <c:axId val="27567834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953007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7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'Bersfort-Creep'!$A$28:$A$40</c:f>
              <c:numCache>
                <c:formatCode>General</c:formatCode>
                <c:ptCount val="13"/>
                <c:pt idx="0">
                  <c:v>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3000</c:v>
                </c:pt>
                <c:pt idx="6">
                  <c:v>4000</c:v>
                </c:pt>
                <c:pt idx="7">
                  <c:v>5000</c:v>
                </c:pt>
                <c:pt idx="8">
                  <c:v>6000</c:v>
                </c:pt>
                <c:pt idx="9">
                  <c:v>7000</c:v>
                </c:pt>
                <c:pt idx="10">
                  <c:v>8000</c:v>
                </c:pt>
                <c:pt idx="11">
                  <c:v>9000</c:v>
                </c:pt>
                <c:pt idx="12">
                  <c:v>10000</c:v>
                </c:pt>
              </c:numCache>
            </c:numRef>
          </c:xVal>
          <c:yVal>
            <c:numRef>
              <c:f>'Bersfort-Creep'!$D$28:$D$40</c:f>
              <c:numCache>
                <c:formatCode>General</c:formatCode>
                <c:ptCount val="13"/>
                <c:pt idx="0">
                  <c:v>0</c:v>
                </c:pt>
                <c:pt idx="1">
                  <c:v>2.11043098589603E-006</c:v>
                </c:pt>
                <c:pt idx="2">
                  <c:v>3.07382052696189E-006</c:v>
                </c:pt>
                <c:pt idx="3">
                  <c:v>3.61419145421144E-006</c:v>
                </c:pt>
                <c:pt idx="4">
                  <c:v>4.24955840886573E-006</c:v>
                </c:pt>
                <c:pt idx="5">
                  <c:v>4.67181637566688E-006</c:v>
                </c:pt>
                <c:pt idx="6">
                  <c:v>4.99662148481882E-006</c:v>
                </c:pt>
                <c:pt idx="7">
                  <c:v>5.26403182789161E-006</c:v>
                </c:pt>
                <c:pt idx="8">
                  <c:v>5.49311147885039E-006</c:v>
                </c:pt>
                <c:pt idx="9">
                  <c:v>5.69455590300233E-006</c:v>
                </c:pt>
                <c:pt idx="10">
                  <c:v>5.87501661595395E-006</c:v>
                </c:pt>
                <c:pt idx="11">
                  <c:v>6.03893527071364E-006</c:v>
                </c:pt>
                <c:pt idx="12">
                  <c:v>6.18943711260432E-006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square"/>
            <c:size val="7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'Bersfort-Creep'!$A$28:$A$40</c:f>
              <c:numCache>
                <c:formatCode>General</c:formatCode>
                <c:ptCount val="13"/>
                <c:pt idx="0">
                  <c:v>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3000</c:v>
                </c:pt>
                <c:pt idx="6">
                  <c:v>4000</c:v>
                </c:pt>
                <c:pt idx="7">
                  <c:v>5000</c:v>
                </c:pt>
                <c:pt idx="8">
                  <c:v>6000</c:v>
                </c:pt>
                <c:pt idx="9">
                  <c:v>7000</c:v>
                </c:pt>
                <c:pt idx="10">
                  <c:v>8000</c:v>
                </c:pt>
                <c:pt idx="11">
                  <c:v>9000</c:v>
                </c:pt>
                <c:pt idx="12">
                  <c:v>10000</c:v>
                </c:pt>
              </c:numCache>
            </c:numRef>
          </c:xVal>
          <c:yVal>
            <c:numRef>
              <c:f>'Bersfort-Creep'!$I$28:$I$40</c:f>
              <c:numCache>
                <c:formatCode>General</c:formatCode>
                <c:ptCount val="13"/>
              </c:numCache>
            </c:numRef>
          </c:yVal>
          <c:smooth val="0"/>
        </c:ser>
        <c:ser>
          <c:idx val="2"/>
          <c:order val="2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7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'Bersfort-Creep'!$A$28:$A$40</c:f>
              <c:numCache>
                <c:formatCode>General</c:formatCode>
                <c:ptCount val="13"/>
                <c:pt idx="0">
                  <c:v>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3000</c:v>
                </c:pt>
                <c:pt idx="6">
                  <c:v>4000</c:v>
                </c:pt>
                <c:pt idx="7">
                  <c:v>5000</c:v>
                </c:pt>
                <c:pt idx="8">
                  <c:v>6000</c:v>
                </c:pt>
                <c:pt idx="9">
                  <c:v>7000</c:v>
                </c:pt>
                <c:pt idx="10">
                  <c:v>8000</c:v>
                </c:pt>
                <c:pt idx="11">
                  <c:v>9000</c:v>
                </c:pt>
                <c:pt idx="12">
                  <c:v>10000</c:v>
                </c:pt>
              </c:numCache>
            </c:numRef>
          </c:xVal>
          <c:yVal>
            <c:numRef>
              <c:f>'Bersfort-Creep'!$E$28:$E$40</c:f>
              <c:numCache>
                <c:formatCode>General</c:formatCode>
                <c:ptCount val="13"/>
                <c:pt idx="0">
                  <c:v>0</c:v>
                </c:pt>
                <c:pt idx="1">
                  <c:v>0.000211043</c:v>
                </c:pt>
                <c:pt idx="2">
                  <c:v>0.000307382</c:v>
                </c:pt>
                <c:pt idx="3">
                  <c:v>0.000361419</c:v>
                </c:pt>
                <c:pt idx="4">
                  <c:v>0.000424956</c:v>
                </c:pt>
                <c:pt idx="5">
                  <c:v>0.000467182</c:v>
                </c:pt>
                <c:pt idx="6">
                  <c:v>0.000499662</c:v>
                </c:pt>
                <c:pt idx="7">
                  <c:v>0.000526403</c:v>
                </c:pt>
                <c:pt idx="8">
                  <c:v>0.000549311</c:v>
                </c:pt>
                <c:pt idx="9">
                  <c:v>0.000569456</c:v>
                </c:pt>
                <c:pt idx="10">
                  <c:v>0.000587502</c:v>
                </c:pt>
                <c:pt idx="11">
                  <c:v>0.000603894</c:v>
                </c:pt>
                <c:pt idx="12">
                  <c:v>0.000618944</c:v>
                </c:pt>
              </c:numCache>
            </c:numRef>
          </c:yVal>
          <c:smooth val="0"/>
        </c:ser>
        <c:axId val="14114411"/>
        <c:axId val="42867781"/>
      </c:scatterChart>
      <c:valAx>
        <c:axId val="141144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867781"/>
        <c:crossesAt val="0"/>
        <c:crossBetween val="midCat"/>
      </c:valAx>
      <c:valAx>
        <c:axId val="42867781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114411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7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'Bersfort-Creep'!$A$28:$A$40</c:f>
              <c:numCache>
                <c:formatCode>General</c:formatCode>
                <c:ptCount val="13"/>
                <c:pt idx="0">
                  <c:v>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3000</c:v>
                </c:pt>
                <c:pt idx="6">
                  <c:v>4000</c:v>
                </c:pt>
                <c:pt idx="7">
                  <c:v>5000</c:v>
                </c:pt>
                <c:pt idx="8">
                  <c:v>6000</c:v>
                </c:pt>
                <c:pt idx="9">
                  <c:v>7000</c:v>
                </c:pt>
                <c:pt idx="10">
                  <c:v>8000</c:v>
                </c:pt>
                <c:pt idx="11">
                  <c:v>9000</c:v>
                </c:pt>
                <c:pt idx="12">
                  <c:v>10000</c:v>
                </c:pt>
              </c:numCache>
            </c:numRef>
          </c:xVal>
          <c:yVal>
            <c:numRef>
              <c:f>'Bersfort-Creep'!$F$28:$F$40</c:f>
              <c:numCache>
                <c:formatCode>General</c:formatCode>
                <c:ptCount val="13"/>
                <c:pt idx="0">
                  <c:v>0</c:v>
                </c:pt>
                <c:pt idx="1">
                  <c:v>8.3791883784958E-006</c:v>
                </c:pt>
                <c:pt idx="2">
                  <c:v>1.08830601465044E-005</c:v>
                </c:pt>
                <c:pt idx="3">
                  <c:v>1.21801869503144E-005</c:v>
                </c:pt>
                <c:pt idx="4">
                  <c:v>1.36319153020817E-005</c:v>
                </c:pt>
                <c:pt idx="5">
                  <c:v>1.45600630722019E-005</c:v>
                </c:pt>
                <c:pt idx="6">
                  <c:v>1.52566718032462E-005</c:v>
                </c:pt>
                <c:pt idx="7">
                  <c:v>1.58198743348619E-005</c:v>
                </c:pt>
                <c:pt idx="8">
                  <c:v>1.62954433624765E-005</c:v>
                </c:pt>
                <c:pt idx="9">
                  <c:v>1.67086676653849E-005</c:v>
                </c:pt>
                <c:pt idx="10">
                  <c:v>1.70750792793162E-005</c:v>
                </c:pt>
                <c:pt idx="11">
                  <c:v>1.74049411171826E-005</c:v>
                </c:pt>
                <c:pt idx="12">
                  <c:v>1.77054086199266E-005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7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'Bersfort-Creep'!$A$28:$A$40</c:f>
              <c:numCache>
                <c:formatCode>General</c:formatCode>
                <c:ptCount val="13"/>
                <c:pt idx="0">
                  <c:v>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3000</c:v>
                </c:pt>
                <c:pt idx="6">
                  <c:v>4000</c:v>
                </c:pt>
                <c:pt idx="7">
                  <c:v>5000</c:v>
                </c:pt>
                <c:pt idx="8">
                  <c:v>6000</c:v>
                </c:pt>
                <c:pt idx="9">
                  <c:v>7000</c:v>
                </c:pt>
                <c:pt idx="10">
                  <c:v>8000</c:v>
                </c:pt>
                <c:pt idx="11">
                  <c:v>9000</c:v>
                </c:pt>
                <c:pt idx="12">
                  <c:v>10000</c:v>
                </c:pt>
              </c:numCache>
            </c:numRef>
          </c:xVal>
          <c:yVal>
            <c:numRef>
              <c:f>'Bersfort-Creep'!$G$28:$G$40</c:f>
              <c:numCache>
                <c:formatCode>General</c:formatCode>
                <c:ptCount val="13"/>
                <c:pt idx="0">
                  <c:v>0</c:v>
                </c:pt>
                <c:pt idx="1">
                  <c:v>0.000837911</c:v>
                </c:pt>
                <c:pt idx="2">
                  <c:v>0.00108829</c:v>
                </c:pt>
                <c:pt idx="3">
                  <c:v>0.001218</c:v>
                </c:pt>
                <c:pt idx="4">
                  <c:v>0.00136317</c:v>
                </c:pt>
                <c:pt idx="5">
                  <c:v>0.00145598</c:v>
                </c:pt>
                <c:pt idx="6">
                  <c:v>0.00152564</c:v>
                </c:pt>
                <c:pt idx="7">
                  <c:v>0.00158196</c:v>
                </c:pt>
                <c:pt idx="8">
                  <c:v>0.00162952</c:v>
                </c:pt>
                <c:pt idx="9">
                  <c:v>0.00167084</c:v>
                </c:pt>
                <c:pt idx="10">
                  <c:v>0.00170748</c:v>
                </c:pt>
                <c:pt idx="11">
                  <c:v>0.00174046</c:v>
                </c:pt>
                <c:pt idx="12">
                  <c:v>0.00177051</c:v>
                </c:pt>
              </c:numCache>
            </c:numRef>
          </c:yVal>
          <c:smooth val="0"/>
        </c:ser>
        <c:axId val="3351877"/>
        <c:axId val="23445789"/>
      </c:scatterChart>
      <c:valAx>
        <c:axId val="33518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445789"/>
        <c:crossesAt val="0"/>
        <c:crossBetween val="midCat"/>
      </c:valAx>
      <c:valAx>
        <c:axId val="23445789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51877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7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Sheet3!$A$1:$A$12</c:f>
              <c:numCache>
                <c:formatCode>General</c:formatCode>
                <c:ptCount val="12"/>
                <c:pt idx="0">
                  <c:v>0</c:v>
                </c:pt>
                <c:pt idx="1">
                  <c:v>0.002</c:v>
                </c:pt>
                <c:pt idx="2">
                  <c:v>0.002</c:v>
                </c:pt>
                <c:pt idx="3">
                  <c:v>0.003</c:v>
                </c:pt>
                <c:pt idx="4">
                  <c:v>0.004</c:v>
                </c:pt>
                <c:pt idx="5">
                  <c:v>0.005</c:v>
                </c:pt>
                <c:pt idx="6">
                  <c:v>0.006</c:v>
                </c:pt>
                <c:pt idx="7">
                  <c:v>0.004</c:v>
                </c:pt>
              </c:numCache>
            </c:numRef>
          </c:xVal>
          <c:yVal>
            <c:numRef>
              <c:f>Sheet3!$B$1:$B$12</c:f>
              <c:numCache>
                <c:formatCode>General</c:formatCode>
                <c:ptCount val="12"/>
                <c:pt idx="0">
                  <c:v>0</c:v>
                </c:pt>
                <c:pt idx="1">
                  <c:v>72695.5</c:v>
                </c:pt>
                <c:pt idx="2">
                  <c:v>72695.5</c:v>
                </c:pt>
                <c:pt idx="3">
                  <c:v>101406</c:v>
                </c:pt>
                <c:pt idx="4">
                  <c:v>122142</c:v>
                </c:pt>
                <c:pt idx="5">
                  <c:v>136729</c:v>
                </c:pt>
                <c:pt idx="6">
                  <c:v>150178</c:v>
                </c:pt>
                <c:pt idx="7">
                  <c:v>91816.9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7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Sheet3!$A$1:$A$12</c:f>
              <c:numCache>
                <c:formatCode>General</c:formatCode>
                <c:ptCount val="12"/>
                <c:pt idx="0">
                  <c:v>0</c:v>
                </c:pt>
                <c:pt idx="1">
                  <c:v>0.002</c:v>
                </c:pt>
                <c:pt idx="2">
                  <c:v>0.002</c:v>
                </c:pt>
                <c:pt idx="3">
                  <c:v>0.003</c:v>
                </c:pt>
                <c:pt idx="4">
                  <c:v>0.004</c:v>
                </c:pt>
                <c:pt idx="5">
                  <c:v>0.005</c:v>
                </c:pt>
                <c:pt idx="6">
                  <c:v>0.006</c:v>
                </c:pt>
                <c:pt idx="7">
                  <c:v>0.004</c:v>
                </c:pt>
              </c:numCache>
            </c:numRef>
          </c:xVal>
          <c:yVal>
            <c:numRef>
              <c:f>Sheet3!$C$1:$C$12</c:f>
              <c:numCache>
                <c:formatCode>General</c:formatCode>
                <c:ptCount val="12"/>
                <c:pt idx="0">
                  <c:v>0</c:v>
                </c:pt>
                <c:pt idx="1">
                  <c:v>7096.08</c:v>
                </c:pt>
                <c:pt idx="2">
                  <c:v>7096.08</c:v>
                </c:pt>
                <c:pt idx="3">
                  <c:v>44579.1</c:v>
                </c:pt>
                <c:pt idx="4">
                  <c:v>78872.5</c:v>
                </c:pt>
                <c:pt idx="5">
                  <c:v>106042</c:v>
                </c:pt>
                <c:pt idx="6">
                  <c:v>125343</c:v>
                </c:pt>
                <c:pt idx="7">
                  <c:v>50316.8</c:v>
                </c:pt>
              </c:numCache>
            </c:numRef>
          </c:yVal>
          <c:smooth val="0"/>
        </c:ser>
        <c:axId val="91971934"/>
        <c:axId val="11649923"/>
      </c:scatterChart>
      <c:valAx>
        <c:axId val="9197193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649923"/>
        <c:crossesAt val="0"/>
        <c:crossBetween val="midCat"/>
      </c:valAx>
      <c:valAx>
        <c:axId val="11649923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971934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7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Sheet3!$A$15:$A$37</c:f>
              <c:numCache>
                <c:formatCode>General</c:formatCode>
                <c:ptCount val="23"/>
                <c:pt idx="0">
                  <c:v>0</c:v>
                </c:pt>
                <c:pt idx="1">
                  <c:v>0.001</c:v>
                </c:pt>
                <c:pt idx="2">
                  <c:v>0.002</c:v>
                </c:pt>
                <c:pt idx="3">
                  <c:v>0.003</c:v>
                </c:pt>
                <c:pt idx="4">
                  <c:v>0.004</c:v>
                </c:pt>
                <c:pt idx="5">
                  <c:v>0.005</c:v>
                </c:pt>
                <c:pt idx="6">
                  <c:v>0.006</c:v>
                </c:pt>
                <c:pt idx="7">
                  <c:v>0.005</c:v>
                </c:pt>
                <c:pt idx="8">
                  <c:v>0.004</c:v>
                </c:pt>
                <c:pt idx="9">
                  <c:v>0.003</c:v>
                </c:pt>
                <c:pt idx="10">
                  <c:v>0.002</c:v>
                </c:pt>
                <c:pt idx="11">
                  <c:v>0.001</c:v>
                </c:pt>
                <c:pt idx="12">
                  <c:v>0</c:v>
                </c:pt>
                <c:pt idx="13">
                  <c:v>-0.001</c:v>
                </c:pt>
                <c:pt idx="14">
                  <c:v>-0.002</c:v>
                </c:pt>
                <c:pt idx="15">
                  <c:v>-0.003</c:v>
                </c:pt>
                <c:pt idx="16">
                  <c:v>-0.004</c:v>
                </c:pt>
                <c:pt idx="17">
                  <c:v>-0.005</c:v>
                </c:pt>
                <c:pt idx="18">
                  <c:v>-0.006</c:v>
                </c:pt>
                <c:pt idx="19">
                  <c:v>-0.007</c:v>
                </c:pt>
                <c:pt idx="20">
                  <c:v>-0.008</c:v>
                </c:pt>
                <c:pt idx="21">
                  <c:v>-0.009</c:v>
                </c:pt>
                <c:pt idx="22">
                  <c:v>-0.01</c:v>
                </c:pt>
              </c:numCache>
            </c:numRef>
          </c:xVal>
          <c:yVal>
            <c:numRef>
              <c:f>Sheet3!$B$15:$B$37</c:f>
              <c:numCache>
                <c:formatCode>General</c:formatCode>
                <c:ptCount val="23"/>
                <c:pt idx="0">
                  <c:v>0</c:v>
                </c:pt>
                <c:pt idx="1">
                  <c:v>165992000</c:v>
                </c:pt>
                <c:pt idx="2">
                  <c:v>334566000</c:v>
                </c:pt>
                <c:pt idx="3">
                  <c:v>502166000</c:v>
                </c:pt>
                <c:pt idx="4">
                  <c:v>662898000</c:v>
                </c:pt>
                <c:pt idx="5">
                  <c:v>808527000</c:v>
                </c:pt>
                <c:pt idx="6">
                  <c:v>928481000</c:v>
                </c:pt>
                <c:pt idx="7">
                  <c:v>740281000</c:v>
                </c:pt>
                <c:pt idx="8">
                  <c:v>552081000</c:v>
                </c:pt>
                <c:pt idx="9">
                  <c:v>363882000</c:v>
                </c:pt>
                <c:pt idx="10">
                  <c:v>175711000</c:v>
                </c:pt>
                <c:pt idx="11">
                  <c:v>-12173800</c:v>
                </c:pt>
                <c:pt idx="12">
                  <c:v>-198202000</c:v>
                </c:pt>
                <c:pt idx="13">
                  <c:v>-376186000</c:v>
                </c:pt>
                <c:pt idx="14">
                  <c:v>-532419000</c:v>
                </c:pt>
                <c:pt idx="15">
                  <c:v>-657043000</c:v>
                </c:pt>
                <c:pt idx="16">
                  <c:v>-757707000</c:v>
                </c:pt>
                <c:pt idx="17">
                  <c:v>-846966000</c:v>
                </c:pt>
                <c:pt idx="18">
                  <c:v>-931788000</c:v>
                </c:pt>
                <c:pt idx="19">
                  <c:v>-1014940000</c:v>
                </c:pt>
                <c:pt idx="20">
                  <c:v>-1097440000</c:v>
                </c:pt>
                <c:pt idx="21">
                  <c:v>-1179660000</c:v>
                </c:pt>
                <c:pt idx="22">
                  <c:v>-1261770000</c:v>
                </c:pt>
              </c:numCache>
            </c:numRef>
          </c:yVal>
          <c:smooth val="0"/>
        </c:ser>
        <c:axId val="14518354"/>
        <c:axId val="20045960"/>
      </c:scatterChart>
      <c:valAx>
        <c:axId val="145183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045960"/>
        <c:crossesAt val="0"/>
        <c:crossBetween val="midCat"/>
      </c:valAx>
      <c:valAx>
        <c:axId val="20045960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518354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7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Sheet3!$A$15:$A$37</c:f>
              <c:numCache>
                <c:formatCode>General</c:formatCode>
                <c:ptCount val="23"/>
                <c:pt idx="0">
                  <c:v>0</c:v>
                </c:pt>
                <c:pt idx="1">
                  <c:v>0.001</c:v>
                </c:pt>
                <c:pt idx="2">
                  <c:v>0.002</c:v>
                </c:pt>
                <c:pt idx="3">
                  <c:v>0.003</c:v>
                </c:pt>
                <c:pt idx="4">
                  <c:v>0.004</c:v>
                </c:pt>
                <c:pt idx="5">
                  <c:v>0.005</c:v>
                </c:pt>
                <c:pt idx="6">
                  <c:v>0.006</c:v>
                </c:pt>
                <c:pt idx="7">
                  <c:v>0.005</c:v>
                </c:pt>
                <c:pt idx="8">
                  <c:v>0.004</c:v>
                </c:pt>
                <c:pt idx="9">
                  <c:v>0.003</c:v>
                </c:pt>
                <c:pt idx="10">
                  <c:v>0.002</c:v>
                </c:pt>
                <c:pt idx="11">
                  <c:v>0.001</c:v>
                </c:pt>
                <c:pt idx="12">
                  <c:v>0</c:v>
                </c:pt>
                <c:pt idx="13">
                  <c:v>-0.001</c:v>
                </c:pt>
                <c:pt idx="14">
                  <c:v>-0.002</c:v>
                </c:pt>
                <c:pt idx="15">
                  <c:v>-0.003</c:v>
                </c:pt>
                <c:pt idx="16">
                  <c:v>-0.004</c:v>
                </c:pt>
                <c:pt idx="17">
                  <c:v>-0.005</c:v>
                </c:pt>
                <c:pt idx="18">
                  <c:v>-0.006</c:v>
                </c:pt>
                <c:pt idx="19">
                  <c:v>-0.007</c:v>
                </c:pt>
                <c:pt idx="20">
                  <c:v>-0.008</c:v>
                </c:pt>
                <c:pt idx="21">
                  <c:v>-0.009</c:v>
                </c:pt>
                <c:pt idx="22">
                  <c:v>-0.01</c:v>
                </c:pt>
              </c:numCache>
            </c:numRef>
          </c:xVal>
          <c:yVal>
            <c:numRef>
              <c:f>Sheet3!$C$15:$C$37</c:f>
              <c:numCache>
                <c:formatCode>General</c:formatCode>
                <c:ptCount val="23"/>
                <c:pt idx="0">
                  <c:v>164100000000</c:v>
                </c:pt>
                <c:pt idx="1">
                  <c:v>167681000000</c:v>
                </c:pt>
                <c:pt idx="2">
                  <c:v>168875000000</c:v>
                </c:pt>
                <c:pt idx="3">
                  <c:v>165344000000</c:v>
                </c:pt>
                <c:pt idx="4">
                  <c:v>154748000000</c:v>
                </c:pt>
                <c:pt idx="5">
                  <c:v>134749000000</c:v>
                </c:pt>
                <c:pt idx="6">
                  <c:v>103007000000</c:v>
                </c:pt>
                <c:pt idx="7">
                  <c:v>188200000000</c:v>
                </c:pt>
                <c:pt idx="8">
                  <c:v>188200000000</c:v>
                </c:pt>
                <c:pt idx="9">
                  <c:v>188195000000</c:v>
                </c:pt>
                <c:pt idx="10">
                  <c:v>188118000000</c:v>
                </c:pt>
                <c:pt idx="11">
                  <c:v>187444000000</c:v>
                </c:pt>
                <c:pt idx="12">
                  <c:v>183676000000</c:v>
                </c:pt>
                <c:pt idx="13">
                  <c:v>169820000000</c:v>
                </c:pt>
                <c:pt idx="14">
                  <c:v>140604000000</c:v>
                </c:pt>
                <c:pt idx="15">
                  <c:v>110299000000</c:v>
                </c:pt>
                <c:pt idx="16">
                  <c:v>93285800000</c:v>
                </c:pt>
                <c:pt idx="17">
                  <c:v>86336800000</c:v>
                </c:pt>
                <c:pt idx="18">
                  <c:v>83726400000</c:v>
                </c:pt>
                <c:pt idx="19">
                  <c:v>82727100000</c:v>
                </c:pt>
                <c:pt idx="20">
                  <c:v>82324700000</c:v>
                </c:pt>
                <c:pt idx="21">
                  <c:v>82153300000</c:v>
                </c:pt>
                <c:pt idx="22">
                  <c:v>82076300000</c:v>
                </c:pt>
              </c:numCache>
            </c:numRef>
          </c:yVal>
          <c:smooth val="0"/>
        </c:ser>
        <c:axId val="66823525"/>
        <c:axId val="72863988"/>
      </c:scatterChart>
      <c:valAx>
        <c:axId val="6682352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863988"/>
        <c:crossesAt val="0"/>
        <c:crossBetween val="midCat"/>
      </c:valAx>
      <c:valAx>
        <c:axId val="72863988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numFmt formatCode="0.00E+00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823525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7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Sheet4!$A$16:$A$22</c:f>
              <c:numCache>
                <c:formatCode>General</c:formatCode>
                <c:ptCount val="7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</c:numCache>
            </c:numRef>
          </c:xVal>
          <c:yVal>
            <c:numRef>
              <c:f>Sheet4!$B$16:$B$22</c:f>
              <c:numCache>
                <c:formatCode>General</c:formatCode>
                <c:ptCount val="7"/>
                <c:pt idx="0">
                  <c:v>0</c:v>
                </c:pt>
                <c:pt idx="1">
                  <c:v>19693254.6791999</c:v>
                </c:pt>
                <c:pt idx="2">
                  <c:v>39748774.9328953</c:v>
                </c:pt>
                <c:pt idx="3">
                  <c:v>58923602.0794814</c:v>
                </c:pt>
                <c:pt idx="4">
                  <c:v>76277573.4359455</c:v>
                </c:pt>
                <c:pt idx="5">
                  <c:v>91173322.3178671</c:v>
                </c:pt>
                <c:pt idx="6">
                  <c:v>103276278.039418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square"/>
            <c:size val="7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Sheet4!$A$43:$A$53</c:f>
              <c:numCache>
                <c:formatCode>General</c:formatCode>
                <c:ptCount val="11"/>
                <c:pt idx="0">
                  <c:v>0.001</c:v>
                </c:pt>
                <c:pt idx="1">
                  <c:v>0.0013</c:v>
                </c:pt>
                <c:pt idx="2">
                  <c:v>0.0016</c:v>
                </c:pt>
                <c:pt idx="3">
                  <c:v>0.0019</c:v>
                </c:pt>
                <c:pt idx="4">
                  <c:v>0.0022</c:v>
                </c:pt>
                <c:pt idx="5">
                  <c:v>0.0025</c:v>
                </c:pt>
                <c:pt idx="6">
                  <c:v>0.0028</c:v>
                </c:pt>
                <c:pt idx="7">
                  <c:v>0.0031</c:v>
                </c:pt>
                <c:pt idx="8">
                  <c:v>0.0034</c:v>
                </c:pt>
                <c:pt idx="9">
                  <c:v>0.0037</c:v>
                </c:pt>
                <c:pt idx="10">
                  <c:v>0.004</c:v>
                </c:pt>
              </c:numCache>
            </c:numRef>
          </c:xVal>
          <c:yVal>
            <c:numRef>
              <c:f>Sheet4!$D$43:$D$53</c:f>
              <c:numCache>
                <c:formatCode>General</c:formatCode>
                <c:ptCount val="11"/>
                <c:pt idx="0">
                  <c:v>-9388745.50973025</c:v>
                </c:pt>
                <c:pt idx="1">
                  <c:v>8427930.00767645</c:v>
                </c:pt>
                <c:pt idx="2">
                  <c:v>26244574.411617</c:v>
                </c:pt>
                <c:pt idx="3">
                  <c:v>44058588.3632567</c:v>
                </c:pt>
                <c:pt idx="4">
                  <c:v>61814658.8149014</c:v>
                </c:pt>
                <c:pt idx="5">
                  <c:v>79000835.1334011</c:v>
                </c:pt>
                <c:pt idx="6">
                  <c:v>93581843.8483908</c:v>
                </c:pt>
                <c:pt idx="7">
                  <c:v>103780649.646632</c:v>
                </c:pt>
                <c:pt idx="8">
                  <c:v>111341599.397216</c:v>
                </c:pt>
                <c:pt idx="9">
                  <c:v>118066415.910168</c:v>
                </c:pt>
                <c:pt idx="10">
                  <c:v>124565435.299292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7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Sheet4!$A$27:$A$37</c:f>
              <c:numCache>
                <c:formatCode>General</c:formatCode>
                <c:ptCount val="11"/>
                <c:pt idx="0">
                  <c:v>0.003</c:v>
                </c:pt>
                <c:pt idx="1">
                  <c:v>0.0028</c:v>
                </c:pt>
                <c:pt idx="2">
                  <c:v>0.0026</c:v>
                </c:pt>
                <c:pt idx="3">
                  <c:v>0.0024</c:v>
                </c:pt>
                <c:pt idx="4">
                  <c:v>0.0022</c:v>
                </c:pt>
                <c:pt idx="5">
                  <c:v>0.002</c:v>
                </c:pt>
                <c:pt idx="6">
                  <c:v>0.0018</c:v>
                </c:pt>
                <c:pt idx="7">
                  <c:v>0.0016</c:v>
                </c:pt>
                <c:pt idx="8">
                  <c:v>0.0014</c:v>
                </c:pt>
                <c:pt idx="9">
                  <c:v>0.0012</c:v>
                </c:pt>
                <c:pt idx="10">
                  <c:v>0.001</c:v>
                </c:pt>
              </c:numCache>
            </c:numRef>
          </c:xVal>
          <c:yVal>
            <c:numRef>
              <c:f>Sheet4!$D$27:$D$37</c:f>
              <c:numCache>
                <c:formatCode>General</c:formatCode>
                <c:ptCount val="11"/>
                <c:pt idx="0">
                  <c:v>103276278.039418</c:v>
                </c:pt>
                <c:pt idx="1">
                  <c:v>91398494.3510915</c:v>
                </c:pt>
                <c:pt idx="2">
                  <c:v>79520710.832051</c:v>
                </c:pt>
                <c:pt idx="3">
                  <c:v>67642941.6312966</c:v>
                </c:pt>
                <c:pt idx="4">
                  <c:v>55765490.3084468</c:v>
                </c:pt>
                <c:pt idx="5">
                  <c:v>43891398.1216458</c:v>
                </c:pt>
                <c:pt idx="6">
                  <c:v>32039524.2564769</c:v>
                </c:pt>
                <c:pt idx="7">
                  <c:v>20293646.18196</c:v>
                </c:pt>
                <c:pt idx="8">
                  <c:v>8936895.80811083</c:v>
                </c:pt>
                <c:pt idx="9">
                  <c:v>-1324969.26429495</c:v>
                </c:pt>
                <c:pt idx="10">
                  <c:v>-9388745.50973025</c:v>
                </c:pt>
              </c:numCache>
            </c:numRef>
          </c:yVal>
          <c:smooth val="0"/>
        </c:ser>
        <c:axId val="32887312"/>
        <c:axId val="46133238"/>
      </c:scatterChart>
      <c:valAx>
        <c:axId val="328873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133238"/>
        <c:crossesAt val="0"/>
        <c:crossBetween val="midCat"/>
      </c:valAx>
      <c:valAx>
        <c:axId val="46133238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887312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Feuil1!$A$2:$A$12</c:f>
              <c:numCache>
                <c:formatCode>General</c:formatCode>
                <c:ptCount val="11"/>
                <c:pt idx="0">
                  <c:v>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3000</c:v>
                </c:pt>
                <c:pt idx="6">
                  <c:v>4000</c:v>
                </c:pt>
                <c:pt idx="7">
                  <c:v>5000</c:v>
                </c:pt>
                <c:pt idx="8">
                  <c:v>6000</c:v>
                </c:pt>
                <c:pt idx="9">
                  <c:v>8760</c:v>
                </c:pt>
                <c:pt idx="10">
                  <c:v>87600</c:v>
                </c:pt>
              </c:numCache>
            </c:numRef>
          </c:xVal>
          <c:yVal>
            <c:numRef>
              <c:f>Feuil1!$D$2:$D$12</c:f>
              <c:numCache>
                <c:formatCode>General</c:formatCode>
                <c:ptCount val="11"/>
                <c:pt idx="0">
                  <c:v>0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ed7d31"/>
            </a:solidFill>
            <a:ln cap="rnd" w="1908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Feuil1!$A$2:$A$12</c:f>
              <c:numCache>
                <c:formatCode>General</c:formatCode>
                <c:ptCount val="11"/>
                <c:pt idx="0">
                  <c:v>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3000</c:v>
                </c:pt>
                <c:pt idx="6">
                  <c:v>4000</c:v>
                </c:pt>
                <c:pt idx="7">
                  <c:v>5000</c:v>
                </c:pt>
                <c:pt idx="8">
                  <c:v>6000</c:v>
                </c:pt>
                <c:pt idx="9">
                  <c:v>8760</c:v>
                </c:pt>
                <c:pt idx="10">
                  <c:v>87600</c:v>
                </c:pt>
              </c:numCache>
            </c:numRef>
          </c:xVal>
          <c:yVal>
            <c:numRef>
              <c:f>Feuil1!$E$2:$E$12</c:f>
              <c:numCache>
                <c:formatCode>General</c:formatCode>
                <c:ptCount val="11"/>
                <c:pt idx="0">
                  <c:v>0</c:v>
                </c:pt>
              </c:numCache>
            </c:numRef>
          </c:yVal>
          <c:smooth val="0"/>
        </c:ser>
        <c:axId val="93209306"/>
        <c:axId val="42815737"/>
      </c:scatterChart>
      <c:valAx>
        <c:axId val="93209306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2815737"/>
        <c:crosses val="autoZero"/>
        <c:crossBetween val="midCat"/>
      </c:valAx>
      <c:valAx>
        <c:axId val="4281573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320930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Feuil2!$F$33:$F$45</c:f>
              <c:numCache>
                <c:formatCode>General</c:formatCode>
                <c:ptCount val="13"/>
                <c:pt idx="0">
                  <c:v>0</c:v>
                </c:pt>
                <c:pt idx="1">
                  <c:v>0.0005</c:v>
                </c:pt>
                <c:pt idx="2">
                  <c:v>0.001</c:v>
                </c:pt>
                <c:pt idx="3">
                  <c:v>0.0015</c:v>
                </c:pt>
                <c:pt idx="4">
                  <c:v>0.002</c:v>
                </c:pt>
                <c:pt idx="5">
                  <c:v>0.0025</c:v>
                </c:pt>
                <c:pt idx="6">
                  <c:v>0.003</c:v>
                </c:pt>
                <c:pt idx="7">
                  <c:v>0.0035</c:v>
                </c:pt>
                <c:pt idx="8">
                  <c:v>0.004</c:v>
                </c:pt>
                <c:pt idx="9">
                  <c:v>0.0045</c:v>
                </c:pt>
                <c:pt idx="10">
                  <c:v>0.005</c:v>
                </c:pt>
                <c:pt idx="11">
                  <c:v>0.0055</c:v>
                </c:pt>
                <c:pt idx="12">
                  <c:v>0.006</c:v>
                </c:pt>
              </c:numCache>
            </c:numRef>
          </c:xVal>
          <c:yVal>
            <c:numRef>
              <c:f>Feuil2!$G$33:$G$45</c:f>
              <c:numCache>
                <c:formatCode>General</c:formatCode>
                <c:ptCount val="13"/>
                <c:pt idx="0">
                  <c:v>0</c:v>
                </c:pt>
                <c:pt idx="1">
                  <c:v>19693254.6791999</c:v>
                </c:pt>
                <c:pt idx="2">
                  <c:v>39748774.9328954</c:v>
                </c:pt>
                <c:pt idx="3">
                  <c:v>58923602.0794815</c:v>
                </c:pt>
                <c:pt idx="4">
                  <c:v>76277573.4359456</c:v>
                </c:pt>
                <c:pt idx="5">
                  <c:v>91173322.3178672</c:v>
                </c:pt>
                <c:pt idx="6">
                  <c:v>103276278.039418</c:v>
                </c:pt>
                <c:pt idx="7">
                  <c:v>112554665.913362</c:v>
                </c:pt>
                <c:pt idx="8">
                  <c:v>119279507.251056</c:v>
                </c:pt>
                <c:pt idx="9">
                  <c:v>124024619.362447</c:v>
                </c:pt>
                <c:pt idx="10">
                  <c:v>127666615.556077</c:v>
                </c:pt>
                <c:pt idx="11">
                  <c:v>131384905.139078</c:v>
                </c:pt>
                <c:pt idx="12">
                  <c:v>136661693.417175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Feuil2!$A$33:$A$46</c:f>
              <c:numCache>
                <c:formatCode>General</c:formatCode>
                <c:ptCount val="14"/>
                <c:pt idx="0">
                  <c:v>0.001</c:v>
                </c:pt>
                <c:pt idx="1">
                  <c:v>0.0012</c:v>
                </c:pt>
                <c:pt idx="2">
                  <c:v>0.0014</c:v>
                </c:pt>
                <c:pt idx="3">
                  <c:v>0.0016</c:v>
                </c:pt>
                <c:pt idx="4">
                  <c:v>0.0018</c:v>
                </c:pt>
                <c:pt idx="5">
                  <c:v>0.002</c:v>
                </c:pt>
                <c:pt idx="6">
                  <c:v>0.0022</c:v>
                </c:pt>
                <c:pt idx="7">
                  <c:v>0.0024</c:v>
                </c:pt>
                <c:pt idx="8">
                  <c:v>0.0026</c:v>
                </c:pt>
                <c:pt idx="9">
                  <c:v>0.0028</c:v>
                </c:pt>
                <c:pt idx="10">
                  <c:v>0.003</c:v>
                </c:pt>
                <c:pt idx="11">
                  <c:v>0.0032</c:v>
                </c:pt>
                <c:pt idx="12">
                  <c:v>0.0034</c:v>
                </c:pt>
                <c:pt idx="13">
                  <c:v>0.004</c:v>
                </c:pt>
              </c:numCache>
            </c:numRef>
          </c:xVal>
          <c:yVal>
            <c:numRef>
              <c:f>Feuil2!$D$33:$D$46</c:f>
              <c:numCache>
                <c:formatCode>General</c:formatCode>
                <c:ptCount val="14"/>
                <c:pt idx="0">
                  <c:v>-3510263374233880</c:v>
                </c:pt>
                <c:pt idx="1">
                  <c:v>-1653856428953110</c:v>
                </c:pt>
                <c:pt idx="2">
                  <c:v>-666264731500681</c:v>
                </c:pt>
                <c:pt idx="3">
                  <c:v>-231366313197964</c:v>
                </c:pt>
                <c:pt idx="4">
                  <c:v>-69282706803997.1</c:v>
                </c:pt>
                <c:pt idx="5">
                  <c:v>-17596536877071.7</c:v>
                </c:pt>
                <c:pt idx="6">
                  <c:v>-3652979343329.71</c:v>
                </c:pt>
                <c:pt idx="7">
                  <c:v>-581902404868.72</c:v>
                </c:pt>
                <c:pt idx="8">
                  <c:v>-64064194574.9433</c:v>
                </c:pt>
                <c:pt idx="9">
                  <c:v>-4084328787.30261</c:v>
                </c:pt>
                <c:pt idx="10">
                  <c:v>-139279509.171778</c:v>
                </c:pt>
                <c:pt idx="11">
                  <c:v>-28177967.8186952</c:v>
                </c:pt>
                <c:pt idx="12">
                  <c:v>-15938894.0533551</c:v>
                </c:pt>
                <c:pt idx="13">
                  <c:v>119279509.171778</c:v>
                </c:pt>
              </c:numCache>
            </c:numRef>
          </c:yVal>
          <c:smooth val="0"/>
        </c:ser>
        <c:axId val="88563292"/>
        <c:axId val="32697293"/>
      </c:scatterChart>
      <c:valAx>
        <c:axId val="885632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2697293"/>
        <c:crosses val="autoZero"/>
        <c:crossBetween val="between"/>
      </c:valAx>
      <c:valAx>
        <c:axId val="3269729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856329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14040</xdr:colOff>
      <xdr:row>1</xdr:row>
      <xdr:rowOff>67680</xdr:rowOff>
    </xdr:from>
    <xdr:to>
      <xdr:col>18</xdr:col>
      <xdr:colOff>20880</xdr:colOff>
      <xdr:row>19</xdr:row>
      <xdr:rowOff>51480</xdr:rowOff>
    </xdr:to>
    <xdr:graphicFrame>
      <xdr:nvGraphicFramePr>
        <xdr:cNvPr id="0" name="Graphique 1"/>
        <xdr:cNvGraphicFramePr/>
      </xdr:nvGraphicFramePr>
      <xdr:xfrm>
        <a:off x="9059400" y="248400"/>
        <a:ext cx="575856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763560</xdr:colOff>
      <xdr:row>21</xdr:row>
      <xdr:rowOff>31680</xdr:rowOff>
    </xdr:from>
    <xdr:to>
      <xdr:col>17</xdr:col>
      <xdr:colOff>770400</xdr:colOff>
      <xdr:row>39</xdr:row>
      <xdr:rowOff>13320</xdr:rowOff>
    </xdr:to>
    <xdr:graphicFrame>
      <xdr:nvGraphicFramePr>
        <xdr:cNvPr id="1" name="Graphique 2"/>
        <xdr:cNvGraphicFramePr/>
      </xdr:nvGraphicFramePr>
      <xdr:xfrm>
        <a:off x="8986680" y="383184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227880</xdr:colOff>
      <xdr:row>43</xdr:row>
      <xdr:rowOff>39960</xdr:rowOff>
    </xdr:from>
    <xdr:to>
      <xdr:col>7</xdr:col>
      <xdr:colOff>230400</xdr:colOff>
      <xdr:row>61</xdr:row>
      <xdr:rowOff>23760</xdr:rowOff>
    </xdr:to>
    <xdr:graphicFrame>
      <xdr:nvGraphicFramePr>
        <xdr:cNvPr id="2" name="Graphique 3"/>
        <xdr:cNvGraphicFramePr/>
      </xdr:nvGraphicFramePr>
      <xdr:xfrm>
        <a:off x="227880" y="7821720"/>
        <a:ext cx="575856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379800</xdr:colOff>
      <xdr:row>43</xdr:row>
      <xdr:rowOff>78480</xdr:rowOff>
    </xdr:from>
    <xdr:to>
      <xdr:col>14</xdr:col>
      <xdr:colOff>383760</xdr:colOff>
      <xdr:row>61</xdr:row>
      <xdr:rowOff>62280</xdr:rowOff>
    </xdr:to>
    <xdr:graphicFrame>
      <xdr:nvGraphicFramePr>
        <xdr:cNvPr id="3" name="Graphique 4"/>
        <xdr:cNvGraphicFramePr/>
      </xdr:nvGraphicFramePr>
      <xdr:xfrm>
        <a:off x="6135840" y="7860240"/>
        <a:ext cx="575856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552960</xdr:colOff>
      <xdr:row>43</xdr:row>
      <xdr:rowOff>126720</xdr:rowOff>
    </xdr:from>
    <xdr:to>
      <xdr:col>21</xdr:col>
      <xdr:colOff>559800</xdr:colOff>
      <xdr:row>61</xdr:row>
      <xdr:rowOff>110520</xdr:rowOff>
    </xdr:to>
    <xdr:graphicFrame>
      <xdr:nvGraphicFramePr>
        <xdr:cNvPr id="4" name="Graphique 5"/>
        <xdr:cNvGraphicFramePr/>
      </xdr:nvGraphicFramePr>
      <xdr:xfrm>
        <a:off x="12063600" y="7908480"/>
        <a:ext cx="575856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352800</xdr:colOff>
      <xdr:row>0</xdr:row>
      <xdr:rowOff>28440</xdr:rowOff>
    </xdr:from>
    <xdr:to>
      <xdr:col>14</xdr:col>
      <xdr:colOff>359640</xdr:colOff>
      <xdr:row>18</xdr:row>
      <xdr:rowOff>12240</xdr:rowOff>
    </xdr:to>
    <xdr:graphicFrame>
      <xdr:nvGraphicFramePr>
        <xdr:cNvPr id="5" name="Graphique 1"/>
        <xdr:cNvGraphicFramePr/>
      </xdr:nvGraphicFramePr>
      <xdr:xfrm>
        <a:off x="6106320" y="28440"/>
        <a:ext cx="5758560" cy="324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811800</xdr:colOff>
      <xdr:row>21</xdr:row>
      <xdr:rowOff>3960</xdr:rowOff>
    </xdr:from>
    <xdr:to>
      <xdr:col>11</xdr:col>
      <xdr:colOff>819360</xdr:colOff>
      <xdr:row>38</xdr:row>
      <xdr:rowOff>166680</xdr:rowOff>
    </xdr:to>
    <xdr:graphicFrame>
      <xdr:nvGraphicFramePr>
        <xdr:cNvPr id="6" name="Graphique 2"/>
        <xdr:cNvGraphicFramePr/>
      </xdr:nvGraphicFramePr>
      <xdr:xfrm>
        <a:off x="4100400" y="380412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595800</xdr:colOff>
      <xdr:row>21</xdr:row>
      <xdr:rowOff>6480</xdr:rowOff>
    </xdr:from>
    <xdr:to>
      <xdr:col>19</xdr:col>
      <xdr:colOff>603000</xdr:colOff>
      <xdr:row>38</xdr:row>
      <xdr:rowOff>169200</xdr:rowOff>
    </xdr:to>
    <xdr:graphicFrame>
      <xdr:nvGraphicFramePr>
        <xdr:cNvPr id="7" name="Graphique 3"/>
        <xdr:cNvGraphicFramePr/>
      </xdr:nvGraphicFramePr>
      <xdr:xfrm>
        <a:off x="10457640" y="380664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777240</xdr:colOff>
      <xdr:row>20</xdr:row>
      <xdr:rowOff>32760</xdr:rowOff>
    </xdr:from>
    <xdr:to>
      <xdr:col>16</xdr:col>
      <xdr:colOff>784080</xdr:colOff>
      <xdr:row>38</xdr:row>
      <xdr:rowOff>16920</xdr:rowOff>
    </xdr:to>
    <xdr:graphicFrame>
      <xdr:nvGraphicFramePr>
        <xdr:cNvPr id="8" name="Graphique 1"/>
        <xdr:cNvGraphicFramePr/>
      </xdr:nvGraphicFramePr>
      <xdr:xfrm>
        <a:off x="8177400" y="3652200"/>
        <a:ext cx="575856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214200</xdr:colOff>
      <xdr:row>4</xdr:row>
      <xdr:rowOff>104760</xdr:rowOff>
    </xdr:from>
    <xdr:to>
      <xdr:col>12</xdr:col>
      <xdr:colOff>594720</xdr:colOff>
      <xdr:row>19</xdr:row>
      <xdr:rowOff>132840</xdr:rowOff>
    </xdr:to>
    <xdr:graphicFrame>
      <xdr:nvGraphicFramePr>
        <xdr:cNvPr id="9" name="Graphique 1"/>
        <xdr:cNvGraphicFramePr/>
      </xdr:nvGraphicFramePr>
      <xdr:xfrm>
        <a:off x="5965920" y="828360"/>
        <a:ext cx="448884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245880</xdr:colOff>
      <xdr:row>11</xdr:row>
      <xdr:rowOff>87480</xdr:rowOff>
    </xdr:from>
    <xdr:to>
      <xdr:col>16</xdr:col>
      <xdr:colOff>253800</xdr:colOff>
      <xdr:row>29</xdr:row>
      <xdr:rowOff>143640</xdr:rowOff>
    </xdr:to>
    <xdr:graphicFrame>
      <xdr:nvGraphicFramePr>
        <xdr:cNvPr id="10" name=""/>
        <xdr:cNvGraphicFramePr/>
      </xdr:nvGraphicFramePr>
      <xdr:xfrm>
        <a:off x="7738200" y="20779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H41" activeCellId="0" sqref="H41"/>
    </sheetView>
  </sheetViews>
  <sheetFormatPr defaultColWidth="10.609375" defaultRowHeight="14.25" zeroHeight="false" outlineLevelRow="0" outlineLevelCol="0"/>
  <sheetData>
    <row r="1" customFormat="false" ht="14.25" hidden="false" customHeight="false" outlineLevel="0" collapsed="false">
      <c r="A1" s="0" t="n">
        <v>40488</v>
      </c>
      <c r="B1" s="0" t="s">
        <v>0</v>
      </c>
    </row>
    <row r="2" customFormat="false" ht="14.25" hidden="false" customHeight="false" outlineLevel="0" collapsed="false">
      <c r="A2" s="0" t="n">
        <v>1.1594</v>
      </c>
      <c r="B2" s="0" t="s">
        <v>1</v>
      </c>
    </row>
    <row r="4" customFormat="false" ht="14.25" hidden="false" customHeight="false" outlineLevel="0" collapsed="false">
      <c r="A4" s="1"/>
      <c r="B4" s="1" t="s">
        <v>2</v>
      </c>
      <c r="C4" s="1" t="s">
        <v>3</v>
      </c>
      <c r="D4" s="0" t="s">
        <v>4</v>
      </c>
      <c r="E4" s="1"/>
    </row>
    <row r="5" customFormat="false" ht="14.25" hidden="false" customHeight="false" outlineLevel="0" collapsed="false">
      <c r="A5" s="1" t="n">
        <f aca="false">0*A1/A2*6894.75728/1000000</f>
        <v>0</v>
      </c>
      <c r="B5" s="2" t="n">
        <v>0</v>
      </c>
      <c r="C5" s="1" t="n">
        <f aca="false">C6-(C7-C6)/(A7-A6)*A6</f>
        <v>0.202218666666667</v>
      </c>
    </row>
    <row r="6" customFormat="false" ht="14.25" hidden="false" customHeight="false" outlineLevel="0" collapsed="false">
      <c r="A6" s="3" t="n">
        <f aca="false">0.25*A1/A2*6894.75728</f>
        <v>60193835.7669139</v>
      </c>
      <c r="B6" s="2" t="n">
        <v>4.451E-005</v>
      </c>
      <c r="C6" s="2" t="n">
        <v>0.221857</v>
      </c>
      <c r="H6" s="4"/>
      <c r="K6" s="4"/>
    </row>
    <row r="7" customFormat="false" ht="14.25" hidden="false" customHeight="false" outlineLevel="0" collapsed="false">
      <c r="A7" s="3" t="n">
        <f aca="false">0.4*A1/A2*6894.75728</f>
        <v>96310137.2270623</v>
      </c>
      <c r="B7" s="2" t="n">
        <v>7.196E-005</v>
      </c>
      <c r="C7" s="2" t="n">
        <v>0.23364</v>
      </c>
      <c r="H7" s="4"/>
    </row>
    <row r="8" customFormat="false" ht="14.25" hidden="false" customHeight="false" outlineLevel="0" collapsed="false">
      <c r="A8" s="3" t="n">
        <f aca="false">0.7*A1/A2*6894.75728</f>
        <v>168542740.147359</v>
      </c>
      <c r="B8" s="2" t="n">
        <v>0.00039655</v>
      </c>
      <c r="C8" s="2" t="n">
        <v>0.162452</v>
      </c>
      <c r="H8" s="4"/>
    </row>
    <row r="9" customFormat="false" ht="14.25" hidden="false" customHeight="false" outlineLevel="0" collapsed="false">
      <c r="H9" s="4"/>
    </row>
    <row r="10" customFormat="false" ht="14.25" hidden="false" customHeight="false" outlineLevel="0" collapsed="false">
      <c r="A10" s="0" t="n">
        <v>0</v>
      </c>
      <c r="B10" s="0" t="n">
        <f aca="false">IF(A10&lt;$A$5,0,IF(A10&lt;$A$6,($B$6-$B$5)/($A$6-$A$5)*(A10-$A$5)+$B$5,IF(A10&lt;$A$7,($B$7-$B$6)/($A$7-$A$6)*(A10-$A$6)+$B$6,IF(A10&lt;$A$8,($B$8-$B$7)/($A$8-$A$7)*(A10-$A$7)+$B$7,($B$8-$B$7)/($A$8-$A$7)*(A10-$A$8)+$B$8))))</f>
        <v>0</v>
      </c>
      <c r="C10" s="0" t="n">
        <f aca="false">IF(A10&lt;$A$5,0,IF(A10&lt;$A$6,($C$6-$C$5)/($A$6-$A$5)*(A10-$A$5)+$C$5,IF(A10&lt;$A$7,($C$7-$C$6)/($A$7-$A$6)*(A10-$A$6)+$C$6,IF(A10&lt;$A$8,($C$8-$C$7)/($A$8-$A$7)*(A10-$A$7)+$C$7,($C$8-$C$7)/($A$8-$A$7)*(A10-$A$8)+$C$8))))</f>
        <v>0.202218666666667</v>
      </c>
    </row>
    <row r="11" customFormat="false" ht="14.25" hidden="false" customHeight="false" outlineLevel="0" collapsed="false">
      <c r="A11" s="4" t="n">
        <v>15000000</v>
      </c>
      <c r="B11" s="0" t="n">
        <f aca="false">IF(A11&lt;$A$5,0,IF(A11&lt;$A$6,($B$6-$B$5)/($A$6-$A$5)*(A11-$A$5)+$B$5,IF(A11&lt;$A$7,($B$7-$B$6)/($A$7-$A$6)*(A11-$A$6)+$B$6,IF(A11&lt;$A$8,($B$8-$B$7)/($A$8-$A$7)*(A11-$A$7)+$B$7,($B$8-$B$7)/($A$8-$A$7)*(A11-$A$8)+$B$8))))</f>
        <v>1.10916673027005E-005</v>
      </c>
      <c r="C11" s="0" t="n">
        <f aca="false">IF(A11&lt;$A$5,0,IF(A11&lt;$A$6,($C$6-$C$5)/($A$6-$A$5)*(A11-$A$5)+$C$5,IF(A11&lt;$A$7,($C$7-$C$6)/($A$7-$A$6)*(A11-$A$6)+$C$6,IF(A11&lt;$A$8,($C$8-$C$7)/($A$8-$A$7)*(A11-$A$7)+$C$7,($C$8-$C$7)/($A$8-$A$7)*(A11-$A$8)+$C$8))))</f>
        <v>0.207112440194253</v>
      </c>
    </row>
    <row r="12" customFormat="false" ht="14.25" hidden="false" customHeight="false" outlineLevel="0" collapsed="false">
      <c r="A12" s="0" t="n">
        <v>30000000</v>
      </c>
      <c r="B12" s="0" t="n">
        <f aca="false">IF(A12&lt;$A$5,0,IF(A12&lt;$A$6,($B$6-$B$5)/($A$6-$A$5)*(A12-$A$5)+$B$5,IF(A12&lt;$A$7,($B$7-$B$6)/($A$7-$A$6)*(A12-$A$6)+$B$6,IF(A12&lt;$A$8,($B$8-$B$7)/($A$8-$A$7)*(A12-$A$7)+$B$7,($B$8-$B$7)/($A$8-$A$7)*(A12-$A$8)+$B$8))))</f>
        <v>2.21833346054009E-005</v>
      </c>
      <c r="C12" s="0" t="n">
        <f aca="false">IF(A12&lt;$A$5,0,IF(A12&lt;$A$6,($C$6-$C$5)/($A$6-$A$5)*(A12-$A$5)+$C$5,IF(A12&lt;$A$7,($C$7-$C$6)/($A$7-$A$6)*(A12-$A$6)+$C$6,IF(A12&lt;$A$8,($C$8-$C$7)/($A$8-$A$7)*(A12-$A$7)+$C$7,($C$8-$C$7)/($A$8-$A$7)*(A12-$A$8)+$C$8))))</f>
        <v>0.212006213721839</v>
      </c>
    </row>
    <row r="13" customFormat="false" ht="14.25" hidden="false" customHeight="false" outlineLevel="0" collapsed="false">
      <c r="A13" s="4" t="n">
        <v>45000000</v>
      </c>
      <c r="B13" s="0" t="n">
        <f aca="false">IF(A13&lt;$A$5,0,IF(A13&lt;$A$6,($B$6-$B$5)/($A$6-$A$5)*(A13-$A$5)+$B$5,IF(A13&lt;$A$7,($B$7-$B$6)/($A$7-$A$6)*(A13-$A$6)+$B$6,IF(A13&lt;$A$8,($B$8-$B$7)/($A$8-$A$7)*(A13-$A$7)+$B$7,($B$8-$B$7)/($A$8-$A$7)*(A13-$A$8)+$B$8))))</f>
        <v>3.32750019081013E-005</v>
      </c>
      <c r="C13" s="0" t="n">
        <f aca="false">IF(A13&lt;$A$5,0,IF(A13&lt;$A$6,($C$6-$C$5)/($A$6-$A$5)*(A13-$A$5)+$C$5,IF(A13&lt;$A$7,($C$7-$C$6)/($A$7-$A$6)*(A13-$A$6)+$C$6,IF(A13&lt;$A$8,($C$8-$C$7)/($A$8-$A$7)*(A13-$A$7)+$C$7,($C$8-$C$7)/($A$8-$A$7)*(A13-$A$8)+$C$8))))</f>
        <v>0.216899987249425</v>
      </c>
    </row>
    <row r="14" customFormat="false" ht="14.25" hidden="false" customHeight="false" outlineLevel="0" collapsed="false">
      <c r="A14" s="0" t="n">
        <v>60000000</v>
      </c>
      <c r="B14" s="0" t="n">
        <f aca="false">IF(A14&lt;$A$5,0,IF(A14&lt;$A$6,($B$6-$B$5)/($A$6-$A$5)*(A14-$A$5)+$B$5,IF(A14&lt;$A$7,($B$7-$B$6)/($A$7-$A$6)*(A14-$A$6)+$B$6,IF(A14&lt;$A$8,($B$8-$B$7)/($A$8-$A$7)*(A14-$A$7)+$B$7,($B$8-$B$7)/($A$8-$A$7)*(A14-$A$8)+$B$8))))</f>
        <v>4.43666692108018E-005</v>
      </c>
      <c r="C14" s="0" t="n">
        <f aca="false">IF(A14&lt;$A$5,0,IF(A14&lt;$A$6,($C$6-$C$5)/($A$6-$A$5)*(A14-$A$5)+$C$5,IF(A14&lt;$A$7,($C$7-$C$6)/($A$7-$A$6)*(A14-$A$6)+$C$6,IF(A14&lt;$A$8,($C$8-$C$7)/($A$8-$A$7)*(A14-$A$7)+$C$7,($C$8-$C$7)/($A$8-$A$7)*(A14-$A$8)+$C$8))))</f>
        <v>0.221793760777012</v>
      </c>
    </row>
    <row r="15" customFormat="false" ht="14.25" hidden="false" customHeight="false" outlineLevel="0" collapsed="false">
      <c r="A15" s="4" t="n">
        <v>75000000</v>
      </c>
      <c r="B15" s="0" t="n">
        <f aca="false">IF(A15&lt;$A$5,0,IF(A15&lt;$A$6,($B$6-$B$5)/($A$6-$A$5)*(A15-$A$5)+$B$5,IF(A15&lt;$A$7,($B$7-$B$6)/($A$7-$A$6)*(A15-$A$6)+$B$6,IF(A15&lt;$A$8,($B$8-$B$7)/($A$8-$A$7)*(A15-$A$7)+$B$7,($B$8-$B$7)/($A$8-$A$7)*(A15-$A$8)+$B$8))))</f>
        <v>5.57633452143951E-005</v>
      </c>
      <c r="C15" s="0" t="n">
        <f aca="false">IF(A15&lt;$A$5,0,IF(A15&lt;$A$6,($C$6-$C$5)/($A$6-$A$5)*(A15-$A$5)+$C$5,IF(A15&lt;$A$7,($C$7-$C$6)/($A$7-$A$6)*(A15-$A$6)+$C$6,IF(A15&lt;$A$8,($C$8-$C$7)/($A$8-$A$7)*(A15-$A$7)+$C$7,($C$8-$C$7)/($A$8-$A$7)*(A15-$A$8)+$C$8))))</f>
        <v>0.226687534304598</v>
      </c>
    </row>
    <row r="16" customFormat="false" ht="14.25" hidden="false" customHeight="false" outlineLevel="0" collapsed="false">
      <c r="A16" s="0" t="n">
        <v>90000000</v>
      </c>
      <c r="B16" s="0" t="n">
        <f aca="false">IF(A16&lt;$A$5,0,IF(A16&lt;$A$6,($B$6-$B$5)/($A$6-$A$5)*(A16-$A$5)+$B$5,IF(A16&lt;$A$7,($B$7-$B$6)/($A$7-$A$6)*(A16-$A$6)+$B$6,IF(A16&lt;$A$8,($B$8-$B$7)/($A$8-$A$7)*(A16-$A$7)+$B$7,($B$8-$B$7)/($A$8-$A$7)*(A16-$A$8)+$B$8))))</f>
        <v>6.71640142572742E-005</v>
      </c>
      <c r="C16" s="0" t="n">
        <f aca="false">IF(A16&lt;$A$5,0,IF(A16&lt;$A$6,($C$6-$C$5)/($A$6-$A$5)*(A16-$A$5)+$C$5,IF(A16&lt;$A$7,($C$7-$C$6)/($A$7-$A$6)*(A16-$A$6)+$C$6,IF(A16&lt;$A$8,($C$8-$C$7)/($A$8-$A$7)*(A16-$A$7)+$C$7,($C$8-$C$7)/($A$8-$A$7)*(A16-$A$8)+$C$8))))</f>
        <v>0.231581307832184</v>
      </c>
    </row>
    <row r="17" customFormat="false" ht="14.25" hidden="false" customHeight="false" outlineLevel="0" collapsed="false">
      <c r="A17" s="4" t="n">
        <v>105000000</v>
      </c>
      <c r="B17" s="0" t="n">
        <f aca="false">IF(A17&lt;$A$5,0,IF(A17&lt;$A$6,($B$6-$B$5)/($A$6-$A$5)*(A17-$A$5)+$B$5,IF(A17&lt;$A$7,($B$7-$B$6)/($A$7-$A$6)*(A17-$A$6)+$B$6,IF(A17&lt;$A$8,($B$8-$B$7)/($A$8-$A$7)*(A17-$A$7)+$B$7,($B$8-$B$7)/($A$8-$A$7)*(A17-$A$8)+$B$8))))</f>
        <v>0.000111009438112873</v>
      </c>
      <c r="C17" s="0" t="n">
        <f aca="false">IF(A17&lt;$A$5,0,IF(A17&lt;$A$6,($C$6-$C$5)/($A$6-$A$5)*(A17-$A$5)+$C$5,IF(A17&lt;$A$7,($C$7-$C$6)/($A$7-$A$6)*(A17-$A$6)+$C$6,IF(A17&lt;$A$8,($C$8-$C$7)/($A$8-$A$7)*(A17-$A$7)+$C$7,($C$8-$C$7)/($A$8-$A$7)*(A17-$A$8)+$C$8))))</f>
        <v>0.225075807016916</v>
      </c>
    </row>
    <row r="18" customFormat="false" ht="14.25" hidden="false" customHeight="false" outlineLevel="0" collapsed="false">
      <c r="A18" s="0" t="n">
        <v>120000000</v>
      </c>
      <c r="B18" s="0" t="n">
        <f aca="false">IF(A18&lt;$A$5,0,IF(A18&lt;$A$6,($B$6-$B$5)/($A$6-$A$5)*(A18-$A$5)+$B$5,IF(A18&lt;$A$7,($B$7-$B$6)/($A$7-$A$6)*(A18-$A$6)+$B$6,IF(A18&lt;$A$8,($B$8-$B$7)/($A$8-$A$7)*(A18-$A$7)+$B$7,($B$8-$B$7)/($A$8-$A$7)*(A18-$A$8)+$B$8))))</f>
        <v>0.000178414595938522</v>
      </c>
      <c r="C18" s="0" t="n">
        <f aca="false">IF(A18&lt;$A$5,0,IF(A18&lt;$A$6,($C$6-$C$5)/($A$6-$A$5)*(A18-$A$5)+$C$5,IF(A18&lt;$A$7,($C$7-$C$6)/($A$7-$A$6)*(A18-$A$6)+$C$6,IF(A18&lt;$A$8,($C$8-$C$7)/($A$8-$A$7)*(A18-$A$7)+$C$7,($C$8-$C$7)/($A$8-$A$7)*(A18-$A$8)+$C$8))))</f>
        <v>0.210292731828856</v>
      </c>
    </row>
    <row r="19" customFormat="false" ht="14.25" hidden="false" customHeight="false" outlineLevel="0" collapsed="false">
      <c r="A19" s="4" t="n">
        <v>135000000</v>
      </c>
      <c r="B19" s="0" t="n">
        <f aca="false">IF(A19&lt;$A$5,0,IF(A19&lt;$A$6,($B$6-$B$5)/($A$6-$A$5)*(A19-$A$5)+$B$5,IF(A19&lt;$A$7,($B$7-$B$6)/($A$7-$A$6)*(A19-$A$6)+$B$6,IF(A19&lt;$A$8,($B$8-$B$7)/($A$8-$A$7)*(A19-$A$7)+$B$7,($B$8-$B$7)/($A$8-$A$7)*(A19-$A$8)+$B$8))))</f>
        <v>0.00024581975376417</v>
      </c>
      <c r="C19" s="0" t="n">
        <f aca="false">IF(A19&lt;$A$5,0,IF(A19&lt;$A$6,($C$6-$C$5)/($A$6-$A$5)*(A19-$A$5)+$C$5,IF(A19&lt;$A$7,($C$7-$C$6)/($A$7-$A$6)*(A19-$A$6)+$C$6,IF(A19&lt;$A$8,($C$8-$C$7)/($A$8-$A$7)*(A19-$A$7)+$C$7,($C$8-$C$7)/($A$8-$A$7)*(A19-$A$8)+$C$8))))</f>
        <v>0.195509656640797</v>
      </c>
    </row>
    <row r="20" customFormat="false" ht="14.25" hidden="false" customHeight="false" outlineLevel="0" collapsed="false">
      <c r="A20" s="0" t="n">
        <v>150000000</v>
      </c>
      <c r="B20" s="0" t="n">
        <f aca="false">IF(A20&lt;$A$5,0,IF(A20&lt;$A$6,($B$6-$B$5)/($A$6-$A$5)*(A20-$A$5)+$B$5,IF(A20&lt;$A$7,($B$7-$B$6)/($A$7-$A$6)*(A20-$A$6)+$B$6,IF(A20&lt;$A$8,($B$8-$B$7)/($A$8-$A$7)*(A20-$A$7)+$B$7,($B$8-$B$7)/($A$8-$A$7)*(A20-$A$8)+$B$8))))</f>
        <v>0.000313224911589819</v>
      </c>
      <c r="C20" s="0" t="n">
        <f aca="false">IF(A20&lt;$A$5,0,IF(A20&lt;$A$6,($C$6-$C$5)/($A$6-$A$5)*(A20-$A$5)+$C$5,IF(A20&lt;$A$7,($C$7-$C$6)/($A$7-$A$6)*(A20-$A$6)+$C$6,IF(A20&lt;$A$8,($C$8-$C$7)/($A$8-$A$7)*(A20-$A$7)+$C$7,($C$8-$C$7)/($A$8-$A$7)*(A20-$A$8)+$C$8))))</f>
        <v>0.180726581452737</v>
      </c>
    </row>
    <row r="21" customFormat="false" ht="14.25" hidden="false" customHeight="false" outlineLevel="0" collapsed="false">
      <c r="A21" s="4" t="n">
        <v>165000000</v>
      </c>
      <c r="B21" s="0" t="n">
        <f aca="false">IF(A21&lt;$A$5,0,IF(A21&lt;$A$6,($B$6-$B$5)/($A$6-$A$5)*(A21-$A$5)+$B$5,IF(A21&lt;$A$7,($B$7-$B$6)/($A$7-$A$6)*(A21-$A$6)+$B$6,IF(A21&lt;$A$8,($B$8-$B$7)/($A$8-$A$7)*(A21-$A$7)+$B$7,($B$8-$B$7)/($A$8-$A$7)*(A21-$A$8)+$B$8))))</f>
        <v>0.000380630069415467</v>
      </c>
      <c r="C21" s="0" t="n">
        <f aca="false">IF(A21&lt;$A$5,0,IF(A21&lt;$A$6,($C$6-$C$5)/($A$6-$A$5)*(A21-$A$5)+$C$5,IF(A21&lt;$A$7,($C$7-$C$6)/($A$7-$A$6)*(A21-$A$6)+$C$6,IF(A21&lt;$A$8,($C$8-$C$7)/($A$8-$A$7)*(A21-$A$7)+$C$7,($C$8-$C$7)/($A$8-$A$7)*(A21-$A$8)+$C$8))))</f>
        <v>0.165943506264678</v>
      </c>
    </row>
    <row r="22" customFormat="false" ht="14.25" hidden="false" customHeight="false" outlineLevel="0" collapsed="false">
      <c r="A22" s="0" t="n">
        <v>180000000</v>
      </c>
      <c r="B22" s="0" t="n">
        <f aca="false">IF(A22&lt;$A$5,0,IF(A22&lt;$A$6,($B$6-$B$5)/($A$6-$A$5)*(A22-$A$5)+$B$5,IF(A22&lt;$A$7,($B$7-$B$6)/($A$7-$A$6)*(A22-$A$6)+$B$6,IF(A22&lt;$A$8,($B$8-$B$7)/($A$8-$A$7)*(A22-$A$7)+$B$7,($B$8-$B$7)/($A$8-$A$7)*(A22-$A$8)+$B$8))))</f>
        <v>0.000448035227241116</v>
      </c>
      <c r="C22" s="0" t="n">
        <f aca="false">IF(A22&lt;$A$5,0,IF(A22&lt;$A$6,($C$6-$C$5)/($A$6-$A$5)*(A22-$A$5)+$C$5,IF(A22&lt;$A$7,($C$7-$C$6)/($A$7-$A$6)*(A22-$A$6)+$C$6,IF(A22&lt;$A$8,($C$8-$C$7)/($A$8-$A$7)*(A22-$A$7)+$C$7,($C$8-$C$7)/($A$8-$A$7)*(A22-$A$8)+$C$8))))</f>
        <v>0.151160431076618</v>
      </c>
    </row>
    <row r="23" customFormat="false" ht="14.25" hidden="false" customHeight="false" outlineLevel="0" collapsed="false">
      <c r="A23" s="4" t="n">
        <v>195000000</v>
      </c>
      <c r="B23" s="0" t="n">
        <f aca="false">IF(A23&lt;$A$5,0,IF(A23&lt;$A$6,($B$6-$B$5)/($A$6-$A$5)*(A23-$A$5)+$B$5,IF(A23&lt;$A$7,($B$7-$B$6)/($A$7-$A$6)*(A23-$A$6)+$B$6,IF(A23&lt;$A$8,($B$8-$B$7)/($A$8-$A$7)*(A23-$A$7)+$B$7,($B$8-$B$7)/($A$8-$A$7)*(A23-$A$8)+$B$8))))</f>
        <v>0.000515440385066764</v>
      </c>
      <c r="C23" s="0" t="n">
        <f aca="false">IF(A23&lt;$A$5,0,IF(A23&lt;$A$6,($C$6-$C$5)/($A$6-$A$5)*(A23-$A$5)+$C$5,IF(A23&lt;$A$7,($C$7-$C$6)/($A$7-$A$6)*(A23-$A$6)+$C$6,IF(A23&lt;$A$8,($C$8-$C$7)/($A$8-$A$7)*(A23-$A$7)+$C$7,($C$8-$C$7)/($A$8-$A$7)*(A23-$A$8)+$C$8))))</f>
        <v>0.136377355888558</v>
      </c>
    </row>
    <row r="24" customFormat="false" ht="14.25" hidden="false" customHeight="false" outlineLevel="0" collapsed="false">
      <c r="A24" s="0" t="n">
        <v>210000000</v>
      </c>
      <c r="B24" s="0" t="n">
        <f aca="false">IF(A24&lt;$A$5,0,IF(A24&lt;$A$6,($B$6-$B$5)/($A$6-$A$5)*(A24-$A$5)+$B$5,IF(A24&lt;$A$7,($B$7-$B$6)/($A$7-$A$6)*(A24-$A$6)+$B$6,IF(A24&lt;$A$8,($B$8-$B$7)/($A$8-$A$7)*(A24-$A$7)+$B$7,($B$8-$B$7)/($A$8-$A$7)*(A24-$A$8)+$B$8))))</f>
        <v>0.000582845542892413</v>
      </c>
      <c r="C24" s="0" t="n">
        <f aca="false">IF(A24&lt;$A$5,0,IF(A24&lt;$A$6,($C$6-$C$5)/($A$6-$A$5)*(A24-$A$5)+$C$5,IF(A24&lt;$A$7,($C$7-$C$6)/($A$7-$A$6)*(A24-$A$6)+$C$6,IF(A24&lt;$A$8,($C$8-$C$7)/($A$8-$A$7)*(A24-$A$7)+$C$7,($C$8-$C$7)/($A$8-$A$7)*(A24-$A$8)+$C$8))))</f>
        <v>0.121594280700499</v>
      </c>
    </row>
    <row r="26" customFormat="false" ht="14.25" hidden="false" customHeight="false" outlineLevel="0" collapsed="false">
      <c r="B26" s="1" t="s">
        <v>5</v>
      </c>
      <c r="C26" s="1" t="s">
        <v>6</v>
      </c>
      <c r="D26" s="1" t="s">
        <v>5</v>
      </c>
      <c r="E26" s="1" t="s">
        <v>6</v>
      </c>
      <c r="F26" s="1" t="s">
        <v>5</v>
      </c>
      <c r="G26" s="1" t="s">
        <v>6</v>
      </c>
    </row>
    <row r="27" customFormat="false" ht="14.25" hidden="false" customHeight="false" outlineLevel="0" collapsed="false">
      <c r="A27" s="1" t="s">
        <v>7</v>
      </c>
      <c r="B27" s="5" t="n">
        <f aca="false">A6</f>
        <v>60193835.7669139</v>
      </c>
      <c r="C27" s="5" t="n">
        <f aca="false">A6</f>
        <v>60193835.7669139</v>
      </c>
      <c r="D27" s="5" t="n">
        <f aca="false">A7</f>
        <v>96310137.2270623</v>
      </c>
      <c r="E27" s="5" t="n">
        <f aca="false">A7</f>
        <v>96310137.2270623</v>
      </c>
      <c r="F27" s="5" t="n">
        <f aca="false">A8</f>
        <v>168542740.147359</v>
      </c>
      <c r="G27" s="5" t="n">
        <f aca="false">A8</f>
        <v>168542740.147359</v>
      </c>
    </row>
    <row r="28" customFormat="false" ht="14.25" hidden="false" customHeight="false" outlineLevel="0" collapsed="false">
      <c r="A28" s="1" t="n">
        <v>0</v>
      </c>
      <c r="B28" s="0" t="n">
        <f aca="false">($B$6*A28^$C$6)/100</f>
        <v>0</v>
      </c>
      <c r="C28" s="0" t="n">
        <v>0</v>
      </c>
      <c r="D28" s="0" t="n">
        <f aca="false">($B$7*A28^$C$7)/100</f>
        <v>0</v>
      </c>
      <c r="E28" s="0" t="n">
        <v>0</v>
      </c>
      <c r="F28" s="0" t="n">
        <f aca="false">($B$8*A28^$C$8)/100</f>
        <v>0</v>
      </c>
      <c r="G28" s="0" t="n">
        <v>0</v>
      </c>
    </row>
    <row r="29" customFormat="false" ht="14.25" hidden="false" customHeight="false" outlineLevel="0" collapsed="false">
      <c r="A29" s="1" t="n">
        <v>100</v>
      </c>
      <c r="B29" s="0" t="n">
        <f aca="false">($B$6*A29^$C$6)/100</f>
        <v>1.236435865661E-006</v>
      </c>
      <c r="C29" s="0" t="n">
        <v>0.000123645</v>
      </c>
      <c r="D29" s="0" t="n">
        <f aca="false">($B$7*A29^$C$7)/100</f>
        <v>2.11043098589603E-006</v>
      </c>
      <c r="E29" s="0" t="n">
        <v>0.000211043</v>
      </c>
      <c r="F29" s="0" t="n">
        <f aca="false">($B$8*A29^$C$8)/100</f>
        <v>8.3791883784958E-006</v>
      </c>
      <c r="G29" s="0" t="n">
        <v>0.000837911</v>
      </c>
    </row>
    <row r="30" customFormat="false" ht="14.25" hidden="false" customHeight="false" outlineLevel="0" collapsed="false">
      <c r="A30" s="1" t="n">
        <v>500</v>
      </c>
      <c r="B30" s="0" t="n">
        <f aca="false">($B$6*A30^$C$6)/100</f>
        <v>1.76702617404703E-006</v>
      </c>
      <c r="C30" s="0" t="n">
        <v>0.000176706</v>
      </c>
      <c r="D30" s="0" t="n">
        <f aca="false">($B$7*A30^$C$7)/100</f>
        <v>3.07382052696189E-006</v>
      </c>
      <c r="E30" s="0" t="n">
        <v>0.000307382</v>
      </c>
      <c r="F30" s="0" t="n">
        <f aca="false">($B$8*A30^$C$8)/100</f>
        <v>1.08830601465044E-005</v>
      </c>
      <c r="G30" s="0" t="n">
        <v>0.00108829</v>
      </c>
    </row>
    <row r="31" customFormat="false" ht="14.25" hidden="false" customHeight="false" outlineLevel="0" collapsed="false">
      <c r="A31" s="1" t="n">
        <v>1000</v>
      </c>
      <c r="B31" s="0" t="n">
        <f aca="false">($B$6*A31^$C$6)/100</f>
        <v>2.06076559119398E-006</v>
      </c>
      <c r="C31" s="0" t="n">
        <v>0.000206081</v>
      </c>
      <c r="D31" s="0" t="n">
        <f aca="false">($B$7*A31^$C$7)/100</f>
        <v>3.61419145421144E-006</v>
      </c>
      <c r="E31" s="0" t="n">
        <v>0.000361419</v>
      </c>
      <c r="F31" s="0" t="n">
        <f aca="false">($B$8*A31^$C$8)/100</f>
        <v>1.21801869503144E-005</v>
      </c>
      <c r="G31" s="0" t="n">
        <v>0.001218</v>
      </c>
    </row>
    <row r="32" customFormat="false" ht="14.25" hidden="false" customHeight="false" outlineLevel="0" collapsed="false">
      <c r="A32" s="1" t="n">
        <v>2000</v>
      </c>
      <c r="B32" s="0" t="n">
        <f aca="false">($B$6*A32^$C$6)/100</f>
        <v>2.40333441814429E-006</v>
      </c>
      <c r="C32" s="0" t="n">
        <v>0.000240339</v>
      </c>
      <c r="D32" s="0" t="n">
        <f aca="false">($B$7*A32^$C$7)/100</f>
        <v>4.24955840886573E-006</v>
      </c>
      <c r="E32" s="0" t="n">
        <v>0.000424956</v>
      </c>
      <c r="F32" s="0" t="n">
        <f aca="false">($B$8*A32^$C$8)/100</f>
        <v>1.36319153020817E-005</v>
      </c>
      <c r="G32" s="0" t="n">
        <v>0.00136317</v>
      </c>
    </row>
    <row r="33" customFormat="false" ht="14.25" hidden="false" customHeight="false" outlineLevel="0" collapsed="false">
      <c r="A33" s="1" t="n">
        <v>3000</v>
      </c>
      <c r="B33" s="0" t="n">
        <f aca="false">($B$6*A33^$C$6)/100</f>
        <v>2.62954909966197E-006</v>
      </c>
      <c r="C33" s="0" t="n">
        <v>0.000262961</v>
      </c>
      <c r="D33" s="0" t="n">
        <f aca="false">($B$7*A33^$C$7)/100</f>
        <v>4.67181637566688E-006</v>
      </c>
      <c r="E33" s="0" t="n">
        <v>0.000467182</v>
      </c>
      <c r="F33" s="0" t="n">
        <f aca="false">($B$8*A33^$C$8)/100</f>
        <v>1.45600630722019E-005</v>
      </c>
      <c r="G33" s="0" t="n">
        <v>0.00145598</v>
      </c>
    </row>
    <row r="34" customFormat="false" ht="14.25" hidden="false" customHeight="false" outlineLevel="0" collapsed="false">
      <c r="A34" s="1" t="n">
        <v>4000</v>
      </c>
      <c r="B34" s="0" t="n">
        <f aca="false">($B$6*A34^$C$6)/100</f>
        <v>2.80284975162577E-006</v>
      </c>
      <c r="C34" s="0" t="n">
        <v>0.000280292</v>
      </c>
      <c r="D34" s="0" t="n">
        <f aca="false">($B$7*A34^$C$7)/100</f>
        <v>4.99662148481882E-006</v>
      </c>
      <c r="E34" s="0" t="n">
        <v>0.000499662</v>
      </c>
      <c r="F34" s="0" t="n">
        <f aca="false">($B$8*A34^$C$8)/100</f>
        <v>1.52566718032462E-005</v>
      </c>
      <c r="G34" s="0" t="n">
        <v>0.00152564</v>
      </c>
    </row>
    <row r="35" customFormat="false" ht="14.25" hidden="false" customHeight="false" outlineLevel="0" collapsed="false">
      <c r="A35" s="1" t="n">
        <v>5000</v>
      </c>
      <c r="B35" s="0" t="n">
        <f aca="false">($B$6*A35^$C$6)/100</f>
        <v>2.94509957155647E-006</v>
      </c>
      <c r="C35" s="0" t="n">
        <v>0.000294517</v>
      </c>
      <c r="D35" s="0" t="n">
        <f aca="false">($B$7*A35^$C$7)/100</f>
        <v>5.26403182789161E-006</v>
      </c>
      <c r="E35" s="0" t="n">
        <v>0.000526403</v>
      </c>
      <c r="F35" s="0" t="n">
        <f aca="false">($B$8*A35^$C$8)/100</f>
        <v>1.58198743348619E-005</v>
      </c>
      <c r="G35" s="0" t="n">
        <v>0.00158196</v>
      </c>
    </row>
    <row r="36" customFormat="false" ht="14.25" hidden="false" customHeight="false" outlineLevel="0" collapsed="false">
      <c r="A36" s="1" t="n">
        <v>6000</v>
      </c>
      <c r="B36" s="0" t="n">
        <f aca="false">($B$6*A36^$C$6)/100</f>
        <v>3.06666895178331E-006</v>
      </c>
      <c r="C36" s="0" t="n">
        <v>0.000306675</v>
      </c>
      <c r="D36" s="0" t="n">
        <f aca="false">($B$7*A36^$C$7)/100</f>
        <v>5.49311147885039E-006</v>
      </c>
      <c r="E36" s="0" t="n">
        <v>0.000549311</v>
      </c>
      <c r="F36" s="0" t="n">
        <f aca="false">($B$8*A36^$C$8)/100</f>
        <v>1.62954433624765E-005</v>
      </c>
      <c r="G36" s="0" t="n">
        <v>0.00162952</v>
      </c>
    </row>
    <row r="37" customFormat="false" ht="14.25" hidden="false" customHeight="false" outlineLevel="0" collapsed="false">
      <c r="A37" s="1" t="n">
        <v>7000</v>
      </c>
      <c r="B37" s="0" t="n">
        <f aca="false">($B$6*A37^$C$6)/100</f>
        <v>3.17336121998762E-006</v>
      </c>
      <c r="C37" s="0" t="n">
        <v>0.000317345</v>
      </c>
      <c r="D37" s="0" t="n">
        <f aca="false">($B$7*A37^$C$7)/100</f>
        <v>5.69455590300233E-006</v>
      </c>
      <c r="E37" s="0" t="n">
        <v>0.000569456</v>
      </c>
      <c r="F37" s="0" t="n">
        <f aca="false">($B$8*A37^$C$8)/100</f>
        <v>1.67086676653849E-005</v>
      </c>
      <c r="G37" s="0" t="n">
        <v>0.00167084</v>
      </c>
    </row>
    <row r="38" customFormat="false" ht="14.25" hidden="false" customHeight="false" outlineLevel="0" collapsed="false">
      <c r="A38" s="1" t="n">
        <v>8000</v>
      </c>
      <c r="B38" s="0" t="n">
        <f aca="false">($B$6*A38^$C$6)/100</f>
        <v>3.26877802393165E-006</v>
      </c>
      <c r="C38" s="0" t="n">
        <v>0.000326887</v>
      </c>
      <c r="D38" s="0" t="n">
        <f aca="false">($B$7*A38^$C$7)/100</f>
        <v>5.87501661595395E-006</v>
      </c>
      <c r="E38" s="0" t="n">
        <v>0.000587502</v>
      </c>
      <c r="F38" s="0" t="n">
        <f aca="false">($B$8*A38^$C$8)/100</f>
        <v>1.70750792793162E-005</v>
      </c>
      <c r="G38" s="0" t="n">
        <v>0.00170748</v>
      </c>
    </row>
    <row r="39" customFormat="false" ht="14.25" hidden="false" customHeight="false" outlineLevel="0" collapsed="false">
      <c r="A39" s="1" t="n">
        <v>9000</v>
      </c>
      <c r="B39" s="0" t="n">
        <f aca="false">($B$6*A39^$C$6)/100</f>
        <v>3.3553202252018E-006</v>
      </c>
      <c r="C39" s="0" t="n">
        <v>0.000335541</v>
      </c>
      <c r="D39" s="0" t="n">
        <f aca="false">($B$7*A39^$C$7)/100</f>
        <v>6.03893527071364E-006</v>
      </c>
      <c r="E39" s="0" t="n">
        <v>0.000603894</v>
      </c>
      <c r="F39" s="0" t="n">
        <f aca="false">($B$8*A39^$C$8)/100</f>
        <v>1.74049411171826E-005</v>
      </c>
      <c r="G39" s="0" t="n">
        <v>0.00174046</v>
      </c>
    </row>
    <row r="40" customFormat="false" ht="14.25" hidden="false" customHeight="false" outlineLevel="0" collapsed="false">
      <c r="A40" s="1" t="n">
        <v>10000</v>
      </c>
      <c r="B40" s="0" t="n">
        <f aca="false">($B$6*A40^$C$6)/100</f>
        <v>3.43467456727223E-006</v>
      </c>
      <c r="C40" s="0" t="n">
        <v>0.000343477</v>
      </c>
      <c r="D40" s="0" t="n">
        <f aca="false">($B$7*A40^$C$7)/100</f>
        <v>6.18943711260432E-006</v>
      </c>
      <c r="E40" s="0" t="n">
        <v>0.000618944</v>
      </c>
      <c r="F40" s="0" t="n">
        <f aca="false">($B$8*A40^$C$8)/100</f>
        <v>1.77054086199266E-005</v>
      </c>
      <c r="G40" s="0" t="n">
        <v>0.00177051</v>
      </c>
    </row>
    <row r="41" customFormat="false" ht="14.25" hidden="false" customHeight="false" outlineLevel="0" collapsed="false">
      <c r="A41" s="1" t="n">
        <v>10001</v>
      </c>
      <c r="B41" s="0" t="n">
        <f aca="false">($B$6*A41^$C$6)/100</f>
        <v>3.4347507649672E-006</v>
      </c>
      <c r="C41" s="0" t="n">
        <v>1.000343477</v>
      </c>
      <c r="D41" s="0" t="n">
        <f aca="false">($B$7*A41^$C$7)/100</f>
        <v>6.18958171707218E-006</v>
      </c>
      <c r="E41" s="0" t="n">
        <v>1.000618944</v>
      </c>
      <c r="F41" s="0" t="n">
        <f aca="false">($B$8*A41^$C$8)/100</f>
        <v>1.77056962357864E-005</v>
      </c>
      <c r="G41" s="0" t="n">
        <v>1.00177051</v>
      </c>
    </row>
  </sheetData>
  <printOptions headings="false" gridLines="false" gridLinesSet="true" horizontalCentered="false" verticalCentered="false"/>
  <pageMargins left="0" right="0" top="0.39375" bottom="0.39375" header="0" footer="0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10.609375" defaultRowHeight="14.25" zeroHeight="false" outlineLevelRow="0" outlineLevelCol="0"/>
  <sheetData>
    <row r="1" customFormat="false" ht="14.25" hidden="false" customHeight="false" outlineLevel="0" collapsed="false">
      <c r="A1" s="0" t="s">
        <v>8</v>
      </c>
      <c r="B1" s="6" t="n">
        <v>1.0655</v>
      </c>
      <c r="C1" s="0" t="s">
        <v>1</v>
      </c>
      <c r="D1" s="5" t="n">
        <f aca="false">B1*(25.4*25.4)/(1000^2)</f>
        <v>0.00068741798</v>
      </c>
      <c r="E1" s="0" t="s">
        <v>9</v>
      </c>
    </row>
    <row r="2" customFormat="false" ht="14.25" hidden="false" customHeight="false" outlineLevel="0" collapsed="false">
      <c r="A2" s="0" t="s">
        <v>10</v>
      </c>
      <c r="B2" s="6" t="n">
        <v>0.0939</v>
      </c>
      <c r="C2" s="0" t="s">
        <v>1</v>
      </c>
      <c r="D2" s="5" t="n">
        <f aca="false">B2*(25.4*25.4)/(1000^2)</f>
        <v>6.0580524E-005</v>
      </c>
      <c r="E2" s="0" t="s">
        <v>9</v>
      </c>
    </row>
    <row r="3" customFormat="false" ht="14.25" hidden="false" customHeight="false" outlineLevel="0" collapsed="false">
      <c r="A3" s="0" t="s">
        <v>11</v>
      </c>
      <c r="B3" s="6" t="n">
        <v>1.1594</v>
      </c>
      <c r="C3" s="0" t="s">
        <v>1</v>
      </c>
      <c r="D3" s="5" t="n">
        <f aca="false">B3*(25.4*25.4)/(1000^2)</f>
        <v>0.000747998504</v>
      </c>
      <c r="E3" s="0" t="s">
        <v>9</v>
      </c>
    </row>
    <row r="4" customFormat="false" ht="14.25" hidden="false" customHeight="false" outlineLevel="0" collapsed="false">
      <c r="A4" s="0" t="s">
        <v>12</v>
      </c>
      <c r="B4" s="6" t="n">
        <v>40488</v>
      </c>
      <c r="C4" s="0" t="s">
        <v>0</v>
      </c>
    </row>
    <row r="5" customFormat="false" ht="14.25" hidden="false" customHeight="false" outlineLevel="0" collapsed="false">
      <c r="A5" s="0" t="s">
        <v>13</v>
      </c>
      <c r="B5" s="0" t="n">
        <f aca="false">B1/B3</f>
        <v>0.919009832672072</v>
      </c>
      <c r="C5" s="0" t="s">
        <v>14</v>
      </c>
    </row>
    <row r="6" customFormat="false" ht="14.25" hidden="false" customHeight="false" outlineLevel="0" collapsed="false">
      <c r="A6" s="0" t="s">
        <v>15</v>
      </c>
      <c r="B6" s="0" t="n">
        <f aca="false">B2/B3</f>
        <v>0.0809901673279282</v>
      </c>
      <c r="C6" s="0" t="s">
        <v>14</v>
      </c>
    </row>
    <row r="9" customFormat="false" ht="14.25" hidden="false" customHeight="false" outlineLevel="0" collapsed="false">
      <c r="B9" s="7" t="s">
        <v>16</v>
      </c>
      <c r="C9" s="7"/>
      <c r="D9" s="7"/>
      <c r="E9" s="7" t="s">
        <v>17</v>
      </c>
      <c r="F9" s="7"/>
      <c r="G9" s="7"/>
      <c r="H9" s="7" t="s">
        <v>18</v>
      </c>
      <c r="I9" s="7"/>
      <c r="J9" s="7"/>
      <c r="K9" s="7" t="s">
        <v>19</v>
      </c>
      <c r="L9" s="7"/>
      <c r="M9" s="7"/>
    </row>
    <row r="10" customFormat="false" ht="14.25" hidden="false" customHeight="false" outlineLevel="0" collapsed="false">
      <c r="B10" s="1" t="s">
        <v>20</v>
      </c>
      <c r="C10" s="1" t="s">
        <v>21</v>
      </c>
      <c r="D10" s="1" t="s">
        <v>22</v>
      </c>
      <c r="E10" s="1" t="s">
        <v>20</v>
      </c>
      <c r="F10" s="1" t="s">
        <v>21</v>
      </c>
      <c r="G10" s="1" t="s">
        <v>22</v>
      </c>
      <c r="H10" s="1" t="s">
        <v>20</v>
      </c>
      <c r="I10" s="1" t="s">
        <v>21</v>
      </c>
      <c r="J10" s="1" t="s">
        <v>22</v>
      </c>
      <c r="K10" s="1" t="s">
        <v>20</v>
      </c>
      <c r="L10" s="1" t="s">
        <v>21</v>
      </c>
      <c r="M10" s="1" t="s">
        <v>22</v>
      </c>
    </row>
    <row r="11" customFormat="false" ht="14.25" hidden="false" customHeight="false" outlineLevel="0" collapsed="false">
      <c r="A11" s="0" t="s">
        <v>23</v>
      </c>
      <c r="B11" s="1" t="n">
        <v>0</v>
      </c>
      <c r="C11" s="1" t="n">
        <v>0</v>
      </c>
      <c r="D11" s="1" t="n">
        <v>0</v>
      </c>
      <c r="E11" s="3" t="n">
        <f aca="false">B11/$B$6*1000000</f>
        <v>0</v>
      </c>
      <c r="F11" s="3" t="n">
        <f aca="false">C11/$B$5*1000000</f>
        <v>0</v>
      </c>
      <c r="G11" s="3" t="n">
        <f aca="false">D11*1000000</f>
        <v>0</v>
      </c>
      <c r="H11" s="5" t="n">
        <f aca="false">E11</f>
        <v>0</v>
      </c>
      <c r="I11" s="5" t="n">
        <f aca="false">F11</f>
        <v>0</v>
      </c>
      <c r="J11" s="5" t="n">
        <f aca="false">G11</f>
        <v>0</v>
      </c>
      <c r="K11" s="5" t="n">
        <f aca="false">H11/$H$12</f>
        <v>0</v>
      </c>
      <c r="L11" s="5" t="n">
        <f aca="false">I11/$I$12</f>
        <v>0</v>
      </c>
      <c r="M11" s="5" t="n">
        <f aca="false">J11/$J$12</f>
        <v>0</v>
      </c>
    </row>
    <row r="12" customFormat="false" ht="14.25" hidden="false" customHeight="false" outlineLevel="0" collapsed="false">
      <c r="A12" s="0" t="s">
        <v>24</v>
      </c>
      <c r="B12" s="1" t="n">
        <v>132.87</v>
      </c>
      <c r="C12" s="1" t="n">
        <v>349.63</v>
      </c>
      <c r="D12" s="1" t="n">
        <v>482.51</v>
      </c>
      <c r="E12" s="3" t="n">
        <f aca="false">B12/$B$6*1000000</f>
        <v>1640569520.76677</v>
      </c>
      <c r="F12" s="3" t="n">
        <f aca="false">C12/$B$5*1000000</f>
        <v>380442066.635382</v>
      </c>
      <c r="G12" s="3" t="n">
        <f aca="false">D12*1000000</f>
        <v>482510000</v>
      </c>
      <c r="H12" s="5" t="n">
        <f aca="false">E12*(100)</f>
        <v>164056952076.677</v>
      </c>
      <c r="I12" s="5" t="n">
        <f aca="false">F12*(100)</f>
        <v>38044206663.5382</v>
      </c>
      <c r="J12" s="5" t="n">
        <f aca="false">G12*(100)</f>
        <v>48251000000</v>
      </c>
      <c r="K12" s="5" t="n">
        <f aca="false">H12/$H$12</f>
        <v>1</v>
      </c>
      <c r="L12" s="5" t="n">
        <f aca="false">I12/$I$12</f>
        <v>1</v>
      </c>
      <c r="M12" s="5" t="n">
        <f aca="false">J12/$J$12</f>
        <v>1</v>
      </c>
    </row>
    <row r="13" customFormat="false" ht="14.25" hidden="false" customHeight="false" outlineLevel="0" collapsed="false">
      <c r="A13" s="0" t="s">
        <v>25</v>
      </c>
      <c r="B13" s="1" t="n">
        <v>16.17</v>
      </c>
      <c r="C13" s="1" t="n">
        <v>346.06</v>
      </c>
      <c r="D13" s="1" t="n">
        <v>362.23</v>
      </c>
      <c r="E13" s="3" t="n">
        <f aca="false">B13/$B$6*1000000</f>
        <v>199653865.814696</v>
      </c>
      <c r="F13" s="3" t="n">
        <f aca="false">C13/$B$5*1000000</f>
        <v>376557450.96199</v>
      </c>
      <c r="G13" s="3" t="n">
        <f aca="false">D13*1000000</f>
        <v>362230000</v>
      </c>
      <c r="H13" s="5" t="n">
        <f aca="false">E13*(100)^2</f>
        <v>1996538658146.96</v>
      </c>
      <c r="I13" s="5" t="n">
        <f aca="false">F13*(100)^2</f>
        <v>3765574509619.9</v>
      </c>
      <c r="J13" s="5" t="n">
        <f aca="false">G13*(100)^2</f>
        <v>3622300000000</v>
      </c>
      <c r="K13" s="5" t="n">
        <f aca="false">H13/$H$12</f>
        <v>12.1697900203206</v>
      </c>
      <c r="L13" s="5" t="n">
        <f aca="false">I13/$I$12</f>
        <v>98.9789205731774</v>
      </c>
      <c r="M13" s="5" t="n">
        <f aca="false">J13/$J$12</f>
        <v>75.072019232762</v>
      </c>
    </row>
    <row r="14" customFormat="false" ht="14.25" hidden="false" customHeight="false" outlineLevel="0" collapsed="false">
      <c r="A14" s="0" t="s">
        <v>26</v>
      </c>
      <c r="B14" s="1" t="n">
        <v>-0.64</v>
      </c>
      <c r="C14" s="1" t="n">
        <v>-2079.6</v>
      </c>
      <c r="D14" s="1" t="n">
        <v>-2080.25</v>
      </c>
      <c r="E14" s="3" t="n">
        <f aca="false">B14/$B$6*1000000</f>
        <v>-7902193.82321619</v>
      </c>
      <c r="F14" s="3" t="n">
        <f aca="false">C14/$B$5*1000000</f>
        <v>-2262870239.32426</v>
      </c>
      <c r="G14" s="3" t="n">
        <f aca="false">D14*1000000</f>
        <v>-2080250000</v>
      </c>
      <c r="H14" s="5" t="n">
        <f aca="false">E14*(100^3)</f>
        <v>-7902193823216.19</v>
      </c>
      <c r="I14" s="5" t="n">
        <f aca="false">F14*(100^3)</f>
        <v>-2262870239324260</v>
      </c>
      <c r="J14" s="5" t="n">
        <f aca="false">G14*(100^3)</f>
        <v>-2080250000000000</v>
      </c>
      <c r="K14" s="5" t="n">
        <f aca="false">H14/$H$12</f>
        <v>-48.1673816512381</v>
      </c>
      <c r="L14" s="5" t="n">
        <f aca="false">I14/$I$12</f>
        <v>-59480.0217372651</v>
      </c>
      <c r="M14" s="5" t="n">
        <f aca="false">J14/$J$12</f>
        <v>-43113.0961016352</v>
      </c>
    </row>
    <row r="15" customFormat="false" ht="14.25" hidden="false" customHeight="false" outlineLevel="0" collapsed="false">
      <c r="A15" s="0" t="s">
        <v>27</v>
      </c>
      <c r="B15" s="1" t="n">
        <v>-78.91</v>
      </c>
      <c r="C15" s="1" t="n">
        <v>1855.15</v>
      </c>
      <c r="D15" s="1" t="n">
        <v>1776.23</v>
      </c>
      <c r="E15" s="3" t="n">
        <f aca="false">B15/$B$6*1000000</f>
        <v>-974315804.046858</v>
      </c>
      <c r="F15" s="3" t="n">
        <f aca="false">C15/$B$5*1000000</f>
        <v>2018639990.61473</v>
      </c>
      <c r="G15" s="3" t="n">
        <f aca="false">D15*1000000</f>
        <v>1776230000</v>
      </c>
      <c r="H15" s="5" t="n">
        <f aca="false">E15*100^4</f>
        <v>-97431580404685800</v>
      </c>
      <c r="I15" s="5" t="n">
        <f aca="false">F15*100^4</f>
        <v>2.01863999061473E+017</v>
      </c>
      <c r="J15" s="5" t="n">
        <f aca="false">G15*100^4</f>
        <v>1.77623E+017</v>
      </c>
      <c r="K15" s="5" t="n">
        <f aca="false">H15/$H$12</f>
        <v>-593888.763452999</v>
      </c>
      <c r="L15" s="5" t="n">
        <f aca="false">I15/$I$12</f>
        <v>5306037.81140062</v>
      </c>
      <c r="M15" s="5" t="n">
        <f aca="false">J15/$J$12</f>
        <v>3681229.40457193</v>
      </c>
    </row>
    <row r="16" customFormat="false" ht="14.25" hidden="false" customHeight="false" outlineLevel="0" collapsed="false">
      <c r="A16" s="0" t="s">
        <v>28</v>
      </c>
      <c r="B16" s="1" t="n">
        <v>0</v>
      </c>
      <c r="C16" s="1" t="n">
        <v>0</v>
      </c>
      <c r="D16" s="1" t="n">
        <v>0</v>
      </c>
      <c r="E16" s="3" t="n">
        <f aca="false">B16/$B$6*1000000</f>
        <v>0</v>
      </c>
      <c r="F16" s="3" t="n">
        <f aca="false">C16/$B$5*1000000</f>
        <v>0</v>
      </c>
      <c r="G16" s="3" t="n">
        <f aca="false">D16*1000000</f>
        <v>0</v>
      </c>
      <c r="H16" s="5" t="n">
        <f aca="false">E16*100^5</f>
        <v>0</v>
      </c>
      <c r="I16" s="5" t="n">
        <f aca="false">F16*100^5</f>
        <v>0</v>
      </c>
      <c r="J16" s="5" t="n">
        <f aca="false">G16*100^5</f>
        <v>0</v>
      </c>
      <c r="K16" s="5" t="n">
        <f aca="false">H16/$H$12</f>
        <v>0</v>
      </c>
      <c r="L16" s="5" t="n">
        <f aca="false">I16/$I$12</f>
        <v>0</v>
      </c>
      <c r="M16" s="5" t="n">
        <f aca="false">J16/$J$12</f>
        <v>0</v>
      </c>
    </row>
    <row r="17" customFormat="false" ht="14.25" hidden="false" customHeight="false" outlineLevel="0" collapsed="false">
      <c r="A17" s="0" t="s">
        <v>29</v>
      </c>
      <c r="B17" s="1" t="n">
        <v>0</v>
      </c>
      <c r="C17" s="1" t="n">
        <v>0</v>
      </c>
      <c r="D17" s="1" t="n">
        <v>0</v>
      </c>
      <c r="E17" s="3" t="n">
        <f aca="false">B17/$B$6*1000000</f>
        <v>0</v>
      </c>
      <c r="F17" s="3" t="n">
        <f aca="false">C17/$B$5*1000000</f>
        <v>0</v>
      </c>
      <c r="G17" s="3" t="n">
        <f aca="false">D17*1000000</f>
        <v>0</v>
      </c>
      <c r="H17" s="5" t="n">
        <f aca="false">E17*100^6</f>
        <v>0</v>
      </c>
      <c r="I17" s="5" t="n">
        <f aca="false">F17*100^6</f>
        <v>0</v>
      </c>
      <c r="J17" s="5" t="n">
        <f aca="false">G17*100^6</f>
        <v>0</v>
      </c>
      <c r="K17" s="5" t="n">
        <f aca="false">H17/$H$12</f>
        <v>0</v>
      </c>
      <c r="L17" s="5" t="n">
        <f aca="false">I17/$I$12</f>
        <v>0</v>
      </c>
      <c r="M17" s="5" t="n">
        <f aca="false">J17/$J$12</f>
        <v>0</v>
      </c>
    </row>
    <row r="18" customFormat="false" ht="14.25" hidden="false" customHeight="false" outlineLevel="0" collapsed="false">
      <c r="A18" s="0" t="s">
        <v>30</v>
      </c>
      <c r="B18" s="1" t="n">
        <v>152.44</v>
      </c>
      <c r="C18" s="1" t="n">
        <v>545.79</v>
      </c>
      <c r="D18" s="1" t="n">
        <f aca="false">C18+B18</f>
        <v>698.23</v>
      </c>
      <c r="E18" s="3" t="n">
        <f aca="false">B18/$B$6*1000000</f>
        <v>1882203791.26731</v>
      </c>
      <c r="F18" s="3" t="n">
        <f aca="false">C18/$B$5*1000000</f>
        <v>593889184.42046</v>
      </c>
      <c r="G18" s="3" t="n">
        <f aca="false">D18*1000000</f>
        <v>698230000</v>
      </c>
      <c r="H18" s="5" t="n">
        <f aca="false">E18*100</f>
        <v>188220379126.731</v>
      </c>
      <c r="I18" s="5" t="n">
        <f aca="false">F18*100</f>
        <v>59388918442.046</v>
      </c>
      <c r="J18" s="5" t="n">
        <f aca="false">G18*100</f>
        <v>69823000000</v>
      </c>
      <c r="K18" s="5"/>
      <c r="L18" s="5"/>
      <c r="M18" s="5"/>
    </row>
    <row r="21" customFormat="false" ht="14.25" hidden="false" customHeight="false" outlineLevel="0" collapsed="false">
      <c r="A21" s="7" t="s">
        <v>31</v>
      </c>
      <c r="B21" s="7"/>
      <c r="C21" s="7"/>
      <c r="D21" s="1" t="s">
        <v>7</v>
      </c>
      <c r="E21" s="1" t="s">
        <v>4</v>
      </c>
      <c r="F21" s="1" t="s">
        <v>32</v>
      </c>
      <c r="G21" s="1" t="s">
        <v>33</v>
      </c>
      <c r="H21" s="1" t="s">
        <v>34</v>
      </c>
      <c r="I21" s="1" t="s">
        <v>35</v>
      </c>
      <c r="J21" s="1" t="s">
        <v>36</v>
      </c>
      <c r="K21" s="1" t="s">
        <v>37</v>
      </c>
      <c r="L21" s="1" t="s">
        <v>38</v>
      </c>
      <c r="M21" s="1" t="s">
        <v>39</v>
      </c>
      <c r="N21" s="1" t="s">
        <v>40</v>
      </c>
      <c r="O21" s="1" t="s">
        <v>41</v>
      </c>
    </row>
    <row r="22" customFormat="false" ht="14.25" hidden="false" customHeight="false" outlineLevel="0" collapsed="false">
      <c r="A22" s="1" t="s">
        <v>42</v>
      </c>
      <c r="B22" s="1" t="s">
        <v>2</v>
      </c>
      <c r="C22" s="1" t="s">
        <v>3</v>
      </c>
      <c r="D22" s="1" t="s">
        <v>43</v>
      </c>
      <c r="E22" s="1" t="s">
        <v>44</v>
      </c>
      <c r="F22" s="1" t="s">
        <v>44</v>
      </c>
      <c r="G22" s="1" t="s">
        <v>44</v>
      </c>
      <c r="H22" s="1" t="s">
        <v>44</v>
      </c>
      <c r="I22" s="1" t="s">
        <v>42</v>
      </c>
      <c r="J22" s="1" t="s">
        <v>42</v>
      </c>
      <c r="K22" s="1" t="s">
        <v>45</v>
      </c>
      <c r="L22" s="1" t="s">
        <v>45</v>
      </c>
      <c r="M22" s="1" t="s">
        <v>45</v>
      </c>
      <c r="N22" s="1" t="s">
        <v>42</v>
      </c>
      <c r="O22" s="1" t="s">
        <v>42</v>
      </c>
    </row>
    <row r="23" customFormat="false" ht="14.25" hidden="false" customHeight="false" outlineLevel="0" collapsed="false">
      <c r="A23" s="1" t="n">
        <v>60193835.7669139</v>
      </c>
      <c r="B23" s="1" t="n">
        <v>4.451E-005</v>
      </c>
      <c r="C23" s="1" t="n">
        <v>0.221857</v>
      </c>
      <c r="D23" s="1" t="n">
        <v>0</v>
      </c>
      <c r="E23" s="8" t="n">
        <v>0.00120618377895961</v>
      </c>
      <c r="F23" s="9" t="n">
        <f aca="false">E23</f>
        <v>0.00120618377895961</v>
      </c>
      <c r="G23" s="9" t="n">
        <f aca="false">E23</f>
        <v>0.00120618377895961</v>
      </c>
      <c r="H23" s="1" t="n">
        <v>0</v>
      </c>
      <c r="I23" s="1" t="n">
        <f aca="false">$H$11+$H$12*F23+$H$13*F23^2+$H$14*F23^3+$H$15*F23^4</f>
        <v>200567459.150024</v>
      </c>
      <c r="J23" s="1" t="n">
        <f aca="false">$I$11+$I$12*G23+$I$13*G23^2+$I$14*G23^3+$I$15*G23^4</f>
        <v>47823039.675244</v>
      </c>
      <c r="K23" s="1" t="n">
        <f aca="false">I23*$D$2</f>
        <v>12150.4817726571</v>
      </c>
      <c r="L23" s="1" t="n">
        <f aca="false">J23*$D$1</f>
        <v>32874.4173310161</v>
      </c>
      <c r="M23" s="1" t="n">
        <f aca="false">L23+K23</f>
        <v>45024.8991036731</v>
      </c>
      <c r="N23" s="0" t="n">
        <f aca="false">M23/($D$1+$D$2)</f>
        <v>60193835.7669137</v>
      </c>
      <c r="O23" s="1" t="n">
        <f aca="false">ABS(A23-N23)</f>
        <v>2.01165676116943E-007</v>
      </c>
    </row>
    <row r="24" customFormat="false" ht="14.25" hidden="false" customHeight="false" outlineLevel="0" collapsed="false">
      <c r="A24" s="1" t="n">
        <v>96310137.2270623</v>
      </c>
      <c r="B24" s="1" t="n">
        <v>7.196E-005</v>
      </c>
      <c r="C24" s="1" t="n">
        <v>0.23364</v>
      </c>
      <c r="D24" s="1" t="n">
        <v>0</v>
      </c>
      <c r="E24" s="8" t="n">
        <v>0.00197981468664648</v>
      </c>
      <c r="F24" s="9" t="n">
        <f aca="false">E24</f>
        <v>0.00197981468664648</v>
      </c>
      <c r="G24" s="9" t="n">
        <f aca="false">E24</f>
        <v>0.00197981468664648</v>
      </c>
      <c r="H24" s="1" t="n">
        <v>0</v>
      </c>
      <c r="I24" s="1" t="n">
        <f aca="false">$H$11+$H$12*F24+$H$13*F24^2+$H$14*F24^3+$H$15*F24^4</f>
        <v>331069887.879977</v>
      </c>
      <c r="J24" s="1" t="n">
        <f aca="false">$I$11+$I$12*G24+$I$13*G24^2+$I$14*G24^3+$I$15*G24^4</f>
        <v>75621314.5275695</v>
      </c>
      <c r="K24" s="1" t="n">
        <f aca="false">I24*$D$2</f>
        <v>20056.3872883902</v>
      </c>
      <c r="L24" s="1" t="n">
        <f aca="false">J24*$D$1</f>
        <v>51983.4512774865</v>
      </c>
      <c r="M24" s="1" t="n">
        <f aca="false">L24+K24</f>
        <v>72039.8385658768</v>
      </c>
      <c r="N24" s="0" t="n">
        <f aca="false">M24/($D$1+$D$2)</f>
        <v>96310137.2270616</v>
      </c>
      <c r="O24" s="1" t="n">
        <f aca="false">ABS(A24-N24)</f>
        <v>7.45058059692383E-007</v>
      </c>
    </row>
    <row r="25" customFormat="false" ht="14.25" hidden="false" customHeight="false" outlineLevel="0" collapsed="false">
      <c r="A25" s="1" t="n">
        <v>168542740.147359</v>
      </c>
      <c r="B25" s="1" t="n">
        <v>0.00039655</v>
      </c>
      <c r="C25" s="1" t="n">
        <v>0.162452</v>
      </c>
      <c r="D25" s="1" t="n">
        <v>0</v>
      </c>
      <c r="E25" s="8" t="n">
        <v>0.00424008573146764</v>
      </c>
      <c r="F25" s="9" t="n">
        <f aca="false">E25</f>
        <v>0.00424008573146764</v>
      </c>
      <c r="G25" s="9" t="n">
        <f aca="false">E25</f>
        <v>0.00424008573146764</v>
      </c>
      <c r="H25" s="1" t="n">
        <v>0</v>
      </c>
      <c r="I25" s="1" t="n">
        <f aca="false">$H$11+$H$12*F25+$H$13*F25^2+$H$14*F25^3+$H$15*F25^4</f>
        <v>699415726.075635</v>
      </c>
      <c r="J25" s="1" t="n">
        <f aca="false">$I$11+$I$12*G25+$I$13*G25^2+$I$14*G25^3+$I$15*G25^4</f>
        <v>121758156.967007</v>
      </c>
      <c r="K25" s="1" t="n">
        <f aca="false">I25*$D$2</f>
        <v>42370.9711795024</v>
      </c>
      <c r="L25" s="1" t="n">
        <f aca="false">J25*$D$1</f>
        <v>83698.7463107828</v>
      </c>
      <c r="M25" s="1" t="n">
        <f aca="false">L25+K25</f>
        <v>126069.717490285</v>
      </c>
      <c r="N25" s="0" t="n">
        <f aca="false">M25/($D$1+$D$2)</f>
        <v>168542740.147359</v>
      </c>
      <c r="O25" s="1" t="n">
        <f aca="false">ABS(A25-N25)</f>
        <v>1.19209289550781E-007</v>
      </c>
    </row>
    <row r="27" customFormat="false" ht="14.25" hidden="false" customHeight="false" outlineLevel="0" collapsed="false">
      <c r="A27" s="1"/>
      <c r="B27" s="9"/>
      <c r="C27" s="10"/>
      <c r="D27" s="10"/>
      <c r="E27" s="11"/>
      <c r="F27" s="10"/>
      <c r="G27" s="10"/>
      <c r="H27" s="10"/>
      <c r="I27" s="10"/>
      <c r="J27" s="11"/>
      <c r="K27" s="11"/>
      <c r="L27" s="11"/>
    </row>
    <row r="28" customFormat="false" ht="14.25" hidden="false" customHeight="false" outlineLevel="0" collapsed="false">
      <c r="A28" s="11" t="s">
        <v>7</v>
      </c>
      <c r="B28" s="10" t="s">
        <v>46</v>
      </c>
      <c r="C28" s="10" t="s">
        <v>47</v>
      </c>
      <c r="D28" s="1" t="s">
        <v>48</v>
      </c>
      <c r="E28" s="10" t="s">
        <v>32</v>
      </c>
      <c r="F28" s="10" t="s">
        <v>33</v>
      </c>
      <c r="G28" s="10" t="s">
        <v>35</v>
      </c>
      <c r="H28" s="10" t="s">
        <v>36</v>
      </c>
      <c r="I28" s="1" t="s">
        <v>37</v>
      </c>
      <c r="J28" s="1" t="s">
        <v>38</v>
      </c>
      <c r="K28" s="11" t="s">
        <v>39</v>
      </c>
      <c r="L28" s="11" t="s">
        <v>40</v>
      </c>
      <c r="M28" s="1" t="s">
        <v>41</v>
      </c>
      <c r="N28" s="1" t="s">
        <v>2</v>
      </c>
      <c r="O28" s="1" t="s">
        <v>3</v>
      </c>
      <c r="P28" s="0" t="s">
        <v>49</v>
      </c>
    </row>
    <row r="29" customFormat="false" ht="14.25" hidden="false" customHeight="false" outlineLevel="0" collapsed="false">
      <c r="A29" s="1" t="s">
        <v>43</v>
      </c>
      <c r="B29" s="10" t="s">
        <v>42</v>
      </c>
      <c r="C29" s="10" t="s">
        <v>44</v>
      </c>
      <c r="D29" s="1" t="s">
        <v>44</v>
      </c>
      <c r="E29" s="10" t="s">
        <v>44</v>
      </c>
      <c r="F29" s="10" t="s">
        <v>44</v>
      </c>
      <c r="G29" s="10" t="s">
        <v>42</v>
      </c>
      <c r="H29" s="11" t="s">
        <v>42</v>
      </c>
      <c r="I29" s="1" t="s">
        <v>45</v>
      </c>
      <c r="J29" s="1" t="s">
        <v>45</v>
      </c>
      <c r="K29" s="1" t="s">
        <v>45</v>
      </c>
      <c r="L29" s="1" t="s">
        <v>42</v>
      </c>
      <c r="M29" s="1" t="s">
        <v>42</v>
      </c>
      <c r="N29" s="1" t="s">
        <v>14</v>
      </c>
      <c r="O29" s="1" t="s">
        <v>14</v>
      </c>
      <c r="P29" s="0" t="s">
        <v>44</v>
      </c>
    </row>
    <row r="30" customFormat="false" ht="14.25" hidden="false" customHeight="false" outlineLevel="0" collapsed="false">
      <c r="A30" s="1" t="n">
        <v>1</v>
      </c>
      <c r="B30" s="9" t="n">
        <f aca="false">$A$23</f>
        <v>60193835.7669139</v>
      </c>
      <c r="C30" s="9" t="n">
        <f aca="false">$B$23*A30^$C$23</f>
        <v>4.451E-005</v>
      </c>
      <c r="D30" s="6" t="n">
        <v>5.5619637895398E-005</v>
      </c>
      <c r="E30" s="9" t="n">
        <f aca="false">$F$23+C30</f>
        <v>0.00125069377895961</v>
      </c>
      <c r="F30" s="9" t="n">
        <f aca="false">$G$23+C30-D30</f>
        <v>0.00119507414106421</v>
      </c>
      <c r="G30" s="9" t="n">
        <f aca="false">$H$11+$H$12*E30+$H$13*E30^2+$H$14*E30^3+$H$15*E30^4</f>
        <v>208054206.575027</v>
      </c>
      <c r="H30" s="1" t="n">
        <f aca="false">$J$23+(F30-$G$23)*$I$18</f>
        <v>47163250.2963536</v>
      </c>
      <c r="I30" s="1" t="n">
        <f aca="false">G30*$D$2</f>
        <v>12604.0328547194</v>
      </c>
      <c r="J30" s="1" t="n">
        <f aca="false">H30*$D$1</f>
        <v>32420.8662489538</v>
      </c>
      <c r="K30" s="1" t="n">
        <f aca="false">J30+I30</f>
        <v>45024.8991036732</v>
      </c>
      <c r="L30" s="1" t="n">
        <f aca="false">K30/($D$2+$D$1)</f>
        <v>60193835.7669137</v>
      </c>
      <c r="M30" s="0" t="n">
        <f aca="false">ABS(L30-B30)</f>
        <v>1.564621925354E-007</v>
      </c>
      <c r="N30" s="0" t="n">
        <f aca="false">$D$30/($A$30^O30)</f>
        <v>5.5619637895398E-005</v>
      </c>
      <c r="O30" s="0" t="n">
        <f aca="false">LOG($D$31/$D$30,$A$31/$A$30)</f>
        <v>0.221884562080607</v>
      </c>
      <c r="P30" s="0" t="n">
        <f aca="false">N30*A30^O30</f>
        <v>5.5619637895398E-005</v>
      </c>
    </row>
    <row r="31" customFormat="false" ht="14.25" hidden="false" customHeight="false" outlineLevel="0" collapsed="false">
      <c r="A31" s="1" t="n">
        <v>1000</v>
      </c>
      <c r="B31" s="9" t="n">
        <f aca="false">$A$23</f>
        <v>60193835.7669139</v>
      </c>
      <c r="C31" s="9" t="n">
        <f aca="false">$B$23*A31^$C$23</f>
        <v>0.000206076559119398</v>
      </c>
      <c r="D31" s="8" t="n">
        <v>0.000257562032367809</v>
      </c>
      <c r="E31" s="9" t="n">
        <f aca="false">$F$23+C31</f>
        <v>0.00141226033807901</v>
      </c>
      <c r="F31" s="9" t="n">
        <f aca="false">$G$23+C31-D31</f>
        <v>0.0011546983057112</v>
      </c>
      <c r="G31" s="9" t="n">
        <f aca="false">$H$11+$H$12*E31+$H$13*E31^2+$H$14*E31^3+$H$15*E31^4</f>
        <v>235263345.541359</v>
      </c>
      <c r="H31" s="1" t="n">
        <f aca="false">$J$23+(F31-$G$23)*$I$18</f>
        <v>44765373.103544</v>
      </c>
      <c r="I31" s="1" t="n">
        <f aca="false">G31*$D$2</f>
        <v>14252.3767508886</v>
      </c>
      <c r="J31" s="1" t="n">
        <f aca="false">H31*$D$1</f>
        <v>30772.5223527845</v>
      </c>
      <c r="K31" s="1" t="n">
        <f aca="false">J31+I31</f>
        <v>45024.8991036731</v>
      </c>
      <c r="L31" s="1" t="n">
        <f aca="false">K31/($D$2+$D$1)</f>
        <v>60193835.7669137</v>
      </c>
      <c r="M31" s="0" t="n">
        <f aca="false">ABS(L31-B31)</f>
        <v>2.01165676116943E-007</v>
      </c>
      <c r="N31" s="0" t="n">
        <f aca="false">$D$30/($A$30^O31)</f>
        <v>5.5619637895398E-005</v>
      </c>
      <c r="O31" s="0" t="n">
        <f aca="false">LOG($D$31/$D$30,$A$31/$A$30)</f>
        <v>0.221884562080607</v>
      </c>
      <c r="P31" s="0" t="n">
        <f aca="false">N31*A31^O31</f>
        <v>0.000257562032367809</v>
      </c>
    </row>
    <row r="32" customFormat="false" ht="14.25" hidden="false" customHeight="false" outlineLevel="0" collapsed="false">
      <c r="A32" s="1" t="n">
        <v>10000</v>
      </c>
      <c r="B32" s="9" t="n">
        <f aca="false">$A$23</f>
        <v>60193835.7669139</v>
      </c>
      <c r="C32" s="9" t="n">
        <f aca="false">$B$23*A32^$C$23</f>
        <v>0.000343467456727223</v>
      </c>
      <c r="D32" s="8" t="n">
        <v>0.00042933648589986</v>
      </c>
      <c r="E32" s="9" t="n">
        <f aca="false">$F$23+C32</f>
        <v>0.00154965123568683</v>
      </c>
      <c r="F32" s="9" t="n">
        <f aca="false">$G$23+C32-D32</f>
        <v>0.00112031474978697</v>
      </c>
      <c r="G32" s="9" t="n">
        <f aca="false">$H$11+$H$12*E32+$H$13*E32^2+$H$14*E32^3+$H$15*E32^4</f>
        <v>258434307.655686</v>
      </c>
      <c r="H32" s="1" t="n">
        <f aca="false">$J$23+(F32-$G$23)*$I$18</f>
        <v>42723370.9050126</v>
      </c>
      <c r="I32" s="1" t="n">
        <f aca="false">G32*$D$2</f>
        <v>15656.0857773586</v>
      </c>
      <c r="J32" s="1" t="n">
        <f aca="false">H32*$D$1</f>
        <v>29368.8133263145</v>
      </c>
      <c r="K32" s="1" t="n">
        <f aca="false">J32+I32</f>
        <v>45024.8991036732</v>
      </c>
      <c r="L32" s="1" t="n">
        <f aca="false">K32/($D$2+$D$1)</f>
        <v>60193835.7669138</v>
      </c>
      <c r="M32" s="0" t="n">
        <f aca="false">ABS(L32-B32)</f>
        <v>1.49011611938477E-007</v>
      </c>
      <c r="N32" s="0" t="n">
        <f aca="false">$D$30/($A$30^O32)</f>
        <v>5.5619637895398E-005</v>
      </c>
      <c r="O32" s="0" t="n">
        <f aca="false">LOG($D$31/$D$30,$A$31/$A$30)</f>
        <v>0.221884562080607</v>
      </c>
      <c r="P32" s="0" t="n">
        <f aca="false">N32*A32^O32</f>
        <v>0.000429305453549535</v>
      </c>
    </row>
    <row r="35" customFormat="false" ht="14.25" hidden="false" customHeight="false" outlineLevel="0" collapsed="false">
      <c r="A35" s="11" t="s">
        <v>7</v>
      </c>
      <c r="B35" s="10" t="s">
        <v>46</v>
      </c>
      <c r="C35" s="10" t="s">
        <v>47</v>
      </c>
      <c r="D35" s="1" t="s">
        <v>48</v>
      </c>
      <c r="E35" s="10" t="s">
        <v>32</v>
      </c>
      <c r="F35" s="10" t="s">
        <v>33</v>
      </c>
      <c r="G35" s="10" t="s">
        <v>35</v>
      </c>
      <c r="H35" s="10" t="s">
        <v>36</v>
      </c>
      <c r="I35" s="1" t="s">
        <v>37</v>
      </c>
      <c r="J35" s="1" t="s">
        <v>38</v>
      </c>
      <c r="K35" s="11" t="s">
        <v>39</v>
      </c>
      <c r="L35" s="11" t="s">
        <v>40</v>
      </c>
      <c r="M35" s="1" t="s">
        <v>41</v>
      </c>
      <c r="N35" s="1" t="s">
        <v>2</v>
      </c>
      <c r="O35" s="1" t="s">
        <v>3</v>
      </c>
      <c r="P35" s="0" t="s">
        <v>49</v>
      </c>
    </row>
    <row r="36" customFormat="false" ht="14.25" hidden="false" customHeight="false" outlineLevel="0" collapsed="false">
      <c r="A36" s="1" t="s">
        <v>43</v>
      </c>
      <c r="B36" s="10" t="s">
        <v>42</v>
      </c>
      <c r="C36" s="10" t="s">
        <v>44</v>
      </c>
      <c r="D36" s="1" t="s">
        <v>44</v>
      </c>
      <c r="E36" s="10" t="s">
        <v>44</v>
      </c>
      <c r="F36" s="10" t="s">
        <v>44</v>
      </c>
      <c r="G36" s="10" t="s">
        <v>42</v>
      </c>
      <c r="H36" s="11" t="s">
        <v>42</v>
      </c>
      <c r="I36" s="1" t="s">
        <v>45</v>
      </c>
      <c r="J36" s="1" t="s">
        <v>45</v>
      </c>
      <c r="K36" s="1" t="s">
        <v>45</v>
      </c>
      <c r="L36" s="1" t="s">
        <v>42</v>
      </c>
      <c r="M36" s="1" t="s">
        <v>42</v>
      </c>
      <c r="N36" s="1" t="s">
        <v>14</v>
      </c>
      <c r="O36" s="1" t="s">
        <v>14</v>
      </c>
      <c r="P36" s="0" t="s">
        <v>44</v>
      </c>
    </row>
    <row r="37" customFormat="false" ht="14.25" hidden="false" customHeight="false" outlineLevel="0" collapsed="false">
      <c r="A37" s="1" t="n">
        <v>1</v>
      </c>
      <c r="B37" s="9" t="n">
        <f aca="false">$A$24</f>
        <v>96310137.2270623</v>
      </c>
      <c r="C37" s="9" t="n">
        <f aca="false">$B$24*A37^$C$24</f>
        <v>7.196E-005</v>
      </c>
      <c r="D37" s="8" t="n">
        <v>8.99865622700018E-005</v>
      </c>
      <c r="E37" s="9" t="n">
        <f aca="false">$F$24+C37</f>
        <v>0.00205177468664648</v>
      </c>
      <c r="F37" s="9" t="n">
        <f aca="false">$G$24+C37-D37</f>
        <v>0.00196178812437648</v>
      </c>
      <c r="G37" s="9" t="n">
        <f aca="false">$H$11+$H$12*E37+$H$13*E37^2+$H$14*E37^3+$H$15*E37^4</f>
        <v>343217927.260507</v>
      </c>
      <c r="H37" s="1" t="n">
        <f aca="false">$J$24+(F37-$G$24)*$I$18</f>
        <v>74550736.4911259</v>
      </c>
      <c r="I37" s="1" t="n">
        <f aca="false">G37*$D$2</f>
        <v>20792.3218796354</v>
      </c>
      <c r="J37" s="1" t="n">
        <f aca="false">H37*$D$1</f>
        <v>51247.5166862421</v>
      </c>
      <c r="K37" s="1" t="n">
        <f aca="false">J37+I37</f>
        <v>72039.8385658774</v>
      </c>
      <c r="L37" s="1" t="n">
        <f aca="false">K37/($D$2+$D$1)</f>
        <v>96310137.2270625</v>
      </c>
      <c r="M37" s="0" t="n">
        <f aca="false">ABS(L37-B37)</f>
        <v>1.78813934326172E-007</v>
      </c>
      <c r="N37" s="0" t="n">
        <f aca="false">$D$37/($A$37^O37)</f>
        <v>8.99865622700018E-005</v>
      </c>
      <c r="O37" s="0" t="n">
        <f aca="false">LOG($D$38/$D$37,$A$38/$A$37)</f>
        <v>0.233605418891188</v>
      </c>
      <c r="P37" s="0" t="n">
        <f aca="false">N37*A37^O37</f>
        <v>8.99865622700018E-005</v>
      </c>
    </row>
    <row r="38" customFormat="false" ht="14.25" hidden="false" customHeight="false" outlineLevel="0" collapsed="false">
      <c r="A38" s="1" t="n">
        <v>1000</v>
      </c>
      <c r="B38" s="9" t="n">
        <f aca="false">$A$24</f>
        <v>96310137.2270623</v>
      </c>
      <c r="C38" s="9" t="n">
        <f aca="false">$B$24*A38^$C$24</f>
        <v>0.000361419145421144</v>
      </c>
      <c r="D38" s="8" t="n">
        <v>0.000451849616048796</v>
      </c>
      <c r="E38" s="9" t="n">
        <f aca="false">$F$24+C38</f>
        <v>0.00234123383206762</v>
      </c>
      <c r="F38" s="9" t="n">
        <f aca="false">$G$24+C38-D38</f>
        <v>0.00188938421601883</v>
      </c>
      <c r="G38" s="9" t="n">
        <f aca="false">$H$11+$H$12*E38+$H$13*E38^2+$H$14*E38^3+$H$15*E38^4</f>
        <v>392010676.363638</v>
      </c>
      <c r="H38" s="1" t="n">
        <f aca="false">$J$24+(F38-$G$24)*$I$18</f>
        <v>70250746.6827881</v>
      </c>
      <c r="I38" s="1" t="n">
        <f aca="false">G38*$D$2</f>
        <v>23748.2121877036</v>
      </c>
      <c r="J38" s="1" t="n">
        <f aca="false">H38*$D$1</f>
        <v>48291.6263781739</v>
      </c>
      <c r="K38" s="1" t="n">
        <f aca="false">J38+I38</f>
        <v>72039.8385658775</v>
      </c>
      <c r="L38" s="1" t="n">
        <f aca="false">K38/($D$2+$D$1)</f>
        <v>96310137.2270625</v>
      </c>
      <c r="M38" s="0" t="n">
        <f aca="false">ABS(L38-B38)</f>
        <v>1.9371509552002E-007</v>
      </c>
      <c r="N38" s="0" t="n">
        <f aca="false">$D$37/($A$37^O38)</f>
        <v>8.99865622700018E-005</v>
      </c>
      <c r="O38" s="0" t="n">
        <f aca="false">LOG($D$38/$D$37,$A$38/$A$37)</f>
        <v>0.233605418891188</v>
      </c>
      <c r="P38" s="0" t="n">
        <f aca="false">N38*A38^O38</f>
        <v>0.000451849616048796</v>
      </c>
    </row>
    <row r="39" customFormat="false" ht="14.25" hidden="false" customHeight="false" outlineLevel="0" collapsed="false">
      <c r="A39" s="1" t="n">
        <v>10000</v>
      </c>
      <c r="B39" s="9" t="n">
        <f aca="false">$A$24</f>
        <v>96310137.2270623</v>
      </c>
      <c r="C39" s="9" t="n">
        <f aca="false">$B$24*A39^$C$24</f>
        <v>0.000618943711260432</v>
      </c>
      <c r="D39" s="8" t="n">
        <v>0.000773530667627744</v>
      </c>
      <c r="E39" s="9" t="n">
        <f aca="false">$F$24+C39</f>
        <v>0.00259875839790691</v>
      </c>
      <c r="F39" s="9" t="n">
        <f aca="false">$G$24+C39-D39</f>
        <v>0.00182522773027917</v>
      </c>
      <c r="G39" s="9" t="n">
        <f aca="false">$H$11+$H$12*E39+$H$13*E39^2+$H$14*E39^3+$H$15*E39^4</f>
        <v>435245515.242374</v>
      </c>
      <c r="H39" s="1" t="n">
        <f aca="false">$J$24+(F39-$G$24)*$I$18</f>
        <v>66440562.3836671</v>
      </c>
      <c r="I39" s="1" t="n">
        <f aca="false">G39*$D$2</f>
        <v>26367.401382033</v>
      </c>
      <c r="J39" s="1" t="n">
        <f aca="false">H39*$D$1</f>
        <v>45672.4371838444</v>
      </c>
      <c r="K39" s="1" t="n">
        <f aca="false">J39+I39</f>
        <v>72039.8385658774</v>
      </c>
      <c r="L39" s="1" t="n">
        <f aca="false">K39/($D$2+$D$1)</f>
        <v>96310137.2270624</v>
      </c>
      <c r="M39" s="0" t="n">
        <f aca="false">ABS(L39-B39)</f>
        <v>1.49011611938477E-007</v>
      </c>
      <c r="N39" s="0" t="n">
        <f aca="false">$D$37/($A$37^O39)</f>
        <v>8.99865622700018E-005</v>
      </c>
      <c r="O39" s="0" t="n">
        <f aca="false">LOG($D$38/$D$37,$A$38/$A$37)</f>
        <v>0.233605418891188</v>
      </c>
      <c r="P39" s="0" t="n">
        <f aca="false">N39*A39^O39</f>
        <v>0.000773747638362864</v>
      </c>
    </row>
    <row r="42" customFormat="false" ht="14.25" hidden="false" customHeight="false" outlineLevel="0" collapsed="false">
      <c r="A42" s="11" t="s">
        <v>7</v>
      </c>
      <c r="B42" s="10" t="s">
        <v>46</v>
      </c>
      <c r="C42" s="10" t="s">
        <v>47</v>
      </c>
      <c r="D42" s="1" t="s">
        <v>48</v>
      </c>
      <c r="E42" s="10" t="s">
        <v>32</v>
      </c>
      <c r="F42" s="10" t="s">
        <v>33</v>
      </c>
      <c r="G42" s="10" t="s">
        <v>35</v>
      </c>
      <c r="H42" s="10" t="s">
        <v>36</v>
      </c>
      <c r="I42" s="1" t="s">
        <v>37</v>
      </c>
      <c r="J42" s="1" t="s">
        <v>38</v>
      </c>
      <c r="K42" s="11" t="s">
        <v>39</v>
      </c>
      <c r="L42" s="11" t="s">
        <v>40</v>
      </c>
      <c r="M42" s="1" t="s">
        <v>41</v>
      </c>
      <c r="N42" s="1" t="s">
        <v>2</v>
      </c>
      <c r="O42" s="1" t="s">
        <v>3</v>
      </c>
      <c r="P42" s="0" t="s">
        <v>49</v>
      </c>
    </row>
    <row r="43" customFormat="false" ht="14.25" hidden="false" customHeight="false" outlineLevel="0" collapsed="false">
      <c r="A43" s="1" t="s">
        <v>43</v>
      </c>
      <c r="B43" s="10" t="s">
        <v>42</v>
      </c>
      <c r="C43" s="10" t="s">
        <v>44</v>
      </c>
      <c r="D43" s="1" t="s">
        <v>44</v>
      </c>
      <c r="E43" s="10" t="s">
        <v>44</v>
      </c>
      <c r="F43" s="10" t="s">
        <v>44</v>
      </c>
      <c r="G43" s="10" t="s">
        <v>42</v>
      </c>
      <c r="H43" s="11" t="s">
        <v>42</v>
      </c>
      <c r="I43" s="1" t="s">
        <v>45</v>
      </c>
      <c r="J43" s="1" t="s">
        <v>45</v>
      </c>
      <c r="K43" s="1" t="s">
        <v>45</v>
      </c>
      <c r="L43" s="1" t="s">
        <v>42</v>
      </c>
      <c r="M43" s="1" t="s">
        <v>42</v>
      </c>
      <c r="N43" s="1" t="s">
        <v>14</v>
      </c>
      <c r="O43" s="1" t="s">
        <v>14</v>
      </c>
      <c r="P43" s="0" t="s">
        <v>44</v>
      </c>
    </row>
    <row r="44" customFormat="false" ht="14.25" hidden="false" customHeight="false" outlineLevel="0" collapsed="false">
      <c r="A44" s="1" t="n">
        <v>1</v>
      </c>
      <c r="B44" s="9" t="n">
        <f aca="false">$A$25</f>
        <v>168542740.147359</v>
      </c>
      <c r="C44" s="9" t="n">
        <f aca="false">$B$25*A44^$C$25</f>
        <v>0.00039655</v>
      </c>
      <c r="D44" s="8" t="n">
        <v>0.000483151219702076</v>
      </c>
      <c r="E44" s="9" t="n">
        <f aca="false">$F$25+C44</f>
        <v>0.00463663573146764</v>
      </c>
      <c r="F44" s="9" t="n">
        <f aca="false">$G$25+C44-D44</f>
        <v>0.00415348451176556</v>
      </c>
      <c r="G44" s="9" t="n">
        <f aca="false">$H$11+$H$12*E44+$H$13*E44^2+$H$14*E44^3+$H$15*E44^4</f>
        <v>757775995.30414</v>
      </c>
      <c r="H44" s="1" t="n">
        <f aca="false">$J$25+(F44-$E$25)*$I$18</f>
        <v>116615004.193139</v>
      </c>
      <c r="I44" s="1" t="n">
        <f aca="false">G44*$D$2</f>
        <v>45906.4668701463</v>
      </c>
      <c r="J44" s="1" t="n">
        <f aca="false">H44*$D$1</f>
        <v>80163.2506201388</v>
      </c>
      <c r="K44" s="1" t="n">
        <f aca="false">J44+I44</f>
        <v>126069.717490285</v>
      </c>
      <c r="L44" s="1" t="n">
        <f aca="false">K44/($D$2+$D$1)</f>
        <v>168542740.147359</v>
      </c>
      <c r="M44" s="1" t="n">
        <f aca="false">ABS(L44-B44)</f>
        <v>1.78813934326172E-007</v>
      </c>
      <c r="N44" s="0" t="n">
        <f aca="false">$D$44/($A$44^O44)</f>
        <v>0.000483151219702076</v>
      </c>
      <c r="O44" s="0" t="n">
        <f aca="false">LOG($D$45/$D$44,$A$45/$A$44)</f>
        <v>0.160776493205687</v>
      </c>
      <c r="P44" s="0" t="n">
        <f aca="false">N44*A44^O44</f>
        <v>0.000483151219702076</v>
      </c>
    </row>
    <row r="45" customFormat="false" ht="14.25" hidden="false" customHeight="false" outlineLevel="0" collapsed="false">
      <c r="A45" s="1" t="n">
        <v>1000</v>
      </c>
      <c r="B45" s="9" t="n">
        <f aca="false">$A$25</f>
        <v>168542740.147359</v>
      </c>
      <c r="C45" s="9" t="n">
        <f aca="false">$B$25*A45^$C$25</f>
        <v>0.00121801869503144</v>
      </c>
      <c r="D45" s="8" t="n">
        <v>0.00146694070572738</v>
      </c>
      <c r="E45" s="9" t="n">
        <f aca="false">$F$25+C45</f>
        <v>0.00545810442649908</v>
      </c>
      <c r="F45" s="9" t="n">
        <f aca="false">$G$25+C45-D45</f>
        <v>0.0039911637207717</v>
      </c>
      <c r="G45" s="9" t="n">
        <f aca="false">$H$11+$H$12*E45+$H$13*E45^2+$H$14*E45^3+$H$15*E45^4</f>
        <v>867163427.679518</v>
      </c>
      <c r="H45" s="1" t="n">
        <f aca="false">$J$25+(F45-$E$25)*$I$18</f>
        <v>106974947.975355</v>
      </c>
      <c r="I45" s="1" t="n">
        <f aca="false">G45*$D$2</f>
        <v>52533.2148424613</v>
      </c>
      <c r="J45" s="1" t="n">
        <f aca="false">H45*$D$1</f>
        <v>73536.5026478239</v>
      </c>
      <c r="K45" s="1" t="n">
        <f aca="false">J45+I45</f>
        <v>126069.717490285</v>
      </c>
      <c r="L45" s="1" t="n">
        <f aca="false">K45/($D$2+$D$1)</f>
        <v>168542740.147359</v>
      </c>
      <c r="M45" s="1" t="n">
        <f aca="false">ABS(L45-B45)</f>
        <v>1.19209289550781E-007</v>
      </c>
      <c r="N45" s="0" t="n">
        <f aca="false">$D$44/($A$44^O45)</f>
        <v>0.000483151219702076</v>
      </c>
      <c r="O45" s="0" t="n">
        <f aca="false">LOG($D$45/$D$44,$A$45/$A$44)</f>
        <v>0.160776493205687</v>
      </c>
      <c r="P45" s="0" t="n">
        <f aca="false">N45*A45^O45</f>
        <v>0.00146694070572738</v>
      </c>
    </row>
    <row r="46" customFormat="false" ht="14.25" hidden="false" customHeight="false" outlineLevel="0" collapsed="false">
      <c r="A46" s="1" t="n">
        <v>10000</v>
      </c>
      <c r="B46" s="9" t="n">
        <f aca="false">$A$25</f>
        <v>168542740.147359</v>
      </c>
      <c r="C46" s="9" t="n">
        <f aca="false">$B$25*A46^$C$25</f>
        <v>0.00177054086199266</v>
      </c>
      <c r="D46" s="8" t="n">
        <v>0.00211171388100333</v>
      </c>
      <c r="E46" s="9" t="n">
        <f aca="false">$F$25+C46</f>
        <v>0.0060106265934603</v>
      </c>
      <c r="F46" s="9" t="n">
        <f aca="false">$G$25+C46-D46</f>
        <v>0.00389891271245697</v>
      </c>
      <c r="G46" s="9" t="n">
        <f aca="false">$H$11+$H$12*E46+$H$13*E46^2+$H$14*E46^3+$H$15*E46^4</f>
        <v>929331070.356717</v>
      </c>
      <c r="H46" s="1" t="n">
        <f aca="false">$J$25+(F46-$E$25)*$I$18</f>
        <v>101496260.366356</v>
      </c>
      <c r="I46" s="1" t="n">
        <f aca="false">G46*$D$2</f>
        <v>56299.3632116908</v>
      </c>
      <c r="J46" s="1" t="n">
        <f aca="false">H46*$D$1</f>
        <v>69770.3542785943</v>
      </c>
      <c r="K46" s="1" t="n">
        <f aca="false">J46+I46</f>
        <v>126069.717490285</v>
      </c>
      <c r="L46" s="1" t="n">
        <f aca="false">K46/($D$2+$D$1)</f>
        <v>168542740.147359</v>
      </c>
      <c r="M46" s="1" t="n">
        <f aca="false">ABS(L46-B46)</f>
        <v>2.38418579101562E-007</v>
      </c>
      <c r="N46" s="0" t="n">
        <f aca="false">$D$44/($A$44^O46)</f>
        <v>0.000483151219702076</v>
      </c>
      <c r="O46" s="0" t="n">
        <f aca="false">LOG($D$45/$D$44,$A$45/$A$44)</f>
        <v>0.160776493205687</v>
      </c>
      <c r="P46" s="0" t="n">
        <f aca="false">N46*A46^O46</f>
        <v>0.00212416893437757</v>
      </c>
    </row>
    <row r="49" customFormat="false" ht="14.25" hidden="false" customHeight="false" outlineLevel="0" collapsed="false">
      <c r="A49" s="1"/>
      <c r="B49" s="1" t="s">
        <v>50</v>
      </c>
      <c r="C49" s="1" t="s">
        <v>51</v>
      </c>
      <c r="D49" s="1" t="s">
        <v>52</v>
      </c>
      <c r="E49" s="1" t="s">
        <v>2</v>
      </c>
      <c r="F49" s="1" t="s">
        <v>3</v>
      </c>
      <c r="G49" s="1" t="s">
        <v>53</v>
      </c>
      <c r="H49" s="1" t="s">
        <v>54</v>
      </c>
    </row>
    <row r="50" customFormat="false" ht="14.25" hidden="false" customHeight="false" outlineLevel="0" collapsed="false">
      <c r="A50" s="1" t="n">
        <v>0</v>
      </c>
      <c r="B50" s="12" t="n">
        <v>0</v>
      </c>
      <c r="C50" s="12" t="n">
        <v>0</v>
      </c>
      <c r="D50" s="1" t="n">
        <f aca="false">D51-(D52-D51)/(B52-B51)*B51</f>
        <v>0.201720469047567</v>
      </c>
      <c r="F50" s="5" t="n">
        <f aca="false">C50</f>
        <v>0</v>
      </c>
      <c r="H50" s="0" t="n">
        <f aca="false">D50</f>
        <v>0.201720469047567</v>
      </c>
      <c r="K50" s="5" t="n">
        <f aca="false">B50/$I$18</f>
        <v>0</v>
      </c>
    </row>
    <row r="51" customFormat="false" ht="14.25" hidden="false" customHeight="false" outlineLevel="0" collapsed="false">
      <c r="A51" s="1" t="n">
        <v>1</v>
      </c>
      <c r="B51" s="12" t="n">
        <f aca="false">J23</f>
        <v>47823039.675244</v>
      </c>
      <c r="C51" s="12" t="n">
        <f aca="false">N30</f>
        <v>5.5619637895398E-005</v>
      </c>
      <c r="D51" s="2" t="n">
        <f aca="false">O30</f>
        <v>0.221884562080607</v>
      </c>
      <c r="E51" s="5" t="n">
        <f aca="false">(C51-C50)/(B51-B50)</f>
        <v>1.16303016857772E-012</v>
      </c>
      <c r="F51" s="5" t="n">
        <f aca="false">C51</f>
        <v>5.5619637895398E-005</v>
      </c>
      <c r="G51" s="0" t="n">
        <f aca="false">(D51-D50)/(B51-B50)</f>
        <v>4.21639719473486E-010</v>
      </c>
      <c r="H51" s="0" t="n">
        <f aca="false">D51</f>
        <v>0.221884562080607</v>
      </c>
      <c r="K51" s="5" t="n">
        <f aca="false">B51/$I$18</f>
        <v>0.000805251904392089</v>
      </c>
      <c r="Q51" s="13" t="s">
        <v>55</v>
      </c>
      <c r="R51" s="13" t="n">
        <v>0.3</v>
      </c>
      <c r="S51" s="13"/>
      <c r="T51" s="13"/>
      <c r="U51" s="13"/>
    </row>
    <row r="52" customFormat="false" ht="14.25" hidden="false" customHeight="false" outlineLevel="0" collapsed="false">
      <c r="A52" s="1" t="n">
        <v>2</v>
      </c>
      <c r="B52" s="12" t="n">
        <f aca="false">J24</f>
        <v>75621314.5275695</v>
      </c>
      <c r="C52" s="12" t="n">
        <f aca="false">N37</f>
        <v>8.99865622700018E-005</v>
      </c>
      <c r="D52" s="2" t="n">
        <f aca="false">O37</f>
        <v>0.233605418891188</v>
      </c>
      <c r="E52" s="5" t="n">
        <f aca="false">(C52-C51)/(B52-B51)</f>
        <v>1.23629702048682E-012</v>
      </c>
      <c r="F52" s="5" t="n">
        <f aca="false">C52</f>
        <v>8.99865622700018E-005</v>
      </c>
      <c r="G52" s="0" t="n">
        <f aca="false">(D52-D51)/(B52-B51)</f>
        <v>4.21639719473485E-010</v>
      </c>
      <c r="H52" s="0" t="n">
        <f aca="false">D52</f>
        <v>0.233605418891188</v>
      </c>
      <c r="K52" s="5" t="n">
        <f aca="false">B52/$I$18</f>
        <v>0.00127332365214503</v>
      </c>
      <c r="Q52" s="13" t="s">
        <v>56</v>
      </c>
      <c r="R52" s="13" t="n">
        <v>0.25</v>
      </c>
      <c r="S52" s="13"/>
      <c r="T52" s="13"/>
      <c r="U52" s="13"/>
    </row>
    <row r="53" customFormat="false" ht="14.25" hidden="false" customHeight="false" outlineLevel="0" collapsed="false">
      <c r="A53" s="1" t="n">
        <v>3</v>
      </c>
      <c r="B53" s="12" t="n">
        <f aca="false">J25</f>
        <v>121758156.967007</v>
      </c>
      <c r="C53" s="12" t="n">
        <f aca="false">N44</f>
        <v>0.000483151219702076</v>
      </c>
      <c r="D53" s="2" t="n">
        <f aca="false">O44</f>
        <v>0.160776493205687</v>
      </c>
      <c r="E53" s="0" t="n">
        <f aca="false">(C53-C52)/(B53-B52)</f>
        <v>8.52170709229118E-012</v>
      </c>
      <c r="F53" s="5" t="n">
        <f aca="false">C53</f>
        <v>0.000483151219702076</v>
      </c>
      <c r="G53" s="0" t="n">
        <f aca="false">(D53-D52)/(B53-B52)</f>
        <v>-1.57854161305256E-009</v>
      </c>
      <c r="H53" s="0" t="n">
        <f aca="false">D53</f>
        <v>0.160776493205687</v>
      </c>
      <c r="K53" s="5" t="n">
        <f aca="false">B53/$I$18</f>
        <v>0.00205018310083931</v>
      </c>
      <c r="Q53" s="13" t="s">
        <v>57</v>
      </c>
      <c r="R53" s="13" t="n">
        <v>5</v>
      </c>
      <c r="S53" s="13"/>
      <c r="T53" s="13"/>
      <c r="U53" s="13"/>
    </row>
    <row r="54" customFormat="false" ht="14.25" hidden="false" customHeight="false" outlineLevel="0" collapsed="false">
      <c r="B54" s="5"/>
      <c r="C54" s="5"/>
      <c r="Q54" s="13"/>
      <c r="R54" s="13"/>
      <c r="S54" s="13"/>
      <c r="T54" s="13"/>
      <c r="U54" s="13"/>
    </row>
    <row r="55" customFormat="false" ht="14.25" hidden="false" customHeight="false" outlineLevel="0" collapsed="false">
      <c r="A55" s="1" t="s">
        <v>58</v>
      </c>
      <c r="B55" s="0" t="n">
        <v>0</v>
      </c>
      <c r="Q55" s="13"/>
      <c r="R55" s="13"/>
      <c r="S55" s="13"/>
      <c r="T55" s="13"/>
      <c r="U55" s="13"/>
    </row>
    <row r="56" customFormat="false" ht="14.25" hidden="false" customHeight="false" outlineLevel="0" collapsed="false">
      <c r="A56" s="1" t="s">
        <v>59</v>
      </c>
      <c r="B56" s="0" t="n">
        <v>20</v>
      </c>
      <c r="D56" s="4" t="n">
        <f aca="false">C61/I18</f>
        <v>0.00205088766044556</v>
      </c>
      <c r="Q56" s="13"/>
      <c r="R56" s="13"/>
      <c r="S56" s="13"/>
      <c r="T56" s="13"/>
      <c r="U56" s="13"/>
    </row>
    <row r="57" customFormat="false" ht="14.25" hidden="false" customHeight="false" outlineLevel="0" collapsed="false">
      <c r="Q57" s="13"/>
      <c r="R57" s="13"/>
      <c r="S57" s="13"/>
      <c r="T57" s="13"/>
      <c r="U57" s="13"/>
    </row>
    <row r="58" customFormat="false" ht="14.25" hidden="false" customHeight="false" outlineLevel="0" collapsed="false">
      <c r="A58" s="1" t="s">
        <v>60</v>
      </c>
      <c r="B58" s="1" t="s">
        <v>61</v>
      </c>
      <c r="C58" s="1" t="s">
        <v>50</v>
      </c>
      <c r="D58" s="1" t="s">
        <v>62</v>
      </c>
      <c r="E58" s="1" t="s">
        <v>2</v>
      </c>
      <c r="F58" s="1" t="s">
        <v>3</v>
      </c>
      <c r="G58" s="1" t="s">
        <v>53</v>
      </c>
      <c r="H58" s="1" t="s">
        <v>54</v>
      </c>
      <c r="I58" s="1" t="s">
        <v>51</v>
      </c>
      <c r="J58" s="1" t="s">
        <v>52</v>
      </c>
      <c r="K58" s="1" t="s">
        <v>63</v>
      </c>
      <c r="L58" s="1" t="s">
        <v>64</v>
      </c>
      <c r="M58" s="1" t="s">
        <v>65</v>
      </c>
      <c r="N58" s="1" t="s">
        <v>66</v>
      </c>
      <c r="Q58" s="13" t="s">
        <v>67</v>
      </c>
      <c r="R58" s="13" t="s">
        <v>66</v>
      </c>
      <c r="S58" s="14" t="s">
        <v>64</v>
      </c>
      <c r="T58" s="14" t="s">
        <v>65</v>
      </c>
      <c r="U58" s="14" t="s">
        <v>66</v>
      </c>
    </row>
    <row r="59" customFormat="false" ht="14.25" hidden="false" customHeight="false" outlineLevel="0" collapsed="false">
      <c r="A59" s="1" t="s">
        <v>43</v>
      </c>
      <c r="B59" s="1" t="s">
        <v>68</v>
      </c>
      <c r="C59" s="1" t="s">
        <v>42</v>
      </c>
      <c r="D59" s="0" t="s">
        <v>42</v>
      </c>
      <c r="E59" s="1" t="s">
        <v>69</v>
      </c>
      <c r="F59" s="1" t="s">
        <v>69</v>
      </c>
      <c r="G59" s="1" t="s">
        <v>69</v>
      </c>
      <c r="H59" s="1" t="s">
        <v>69</v>
      </c>
      <c r="I59" s="1" t="s">
        <v>69</v>
      </c>
      <c r="J59" s="1" t="s">
        <v>69</v>
      </c>
      <c r="K59" s="1" t="s">
        <v>14</v>
      </c>
      <c r="L59" s="1" t="s">
        <v>43</v>
      </c>
      <c r="M59" s="1" t="s">
        <v>43</v>
      </c>
      <c r="N59" s="1" t="s">
        <v>44</v>
      </c>
      <c r="Q59" s="13"/>
      <c r="R59" s="13"/>
      <c r="S59" s="13"/>
      <c r="T59" s="13"/>
      <c r="U59" s="13"/>
    </row>
    <row r="60" customFormat="false" ht="14.25" hidden="false" customHeight="false" outlineLevel="0" collapsed="false">
      <c r="A60" s="1"/>
      <c r="B60" s="1"/>
      <c r="C60" s="1"/>
      <c r="E60" s="1"/>
      <c r="F60" s="1"/>
      <c r="G60" s="1"/>
      <c r="H60" s="1"/>
      <c r="I60" s="1"/>
      <c r="J60" s="1"/>
      <c r="L60" s="1"/>
      <c r="M60" s="1" t="n">
        <v>0</v>
      </c>
      <c r="N60" s="1" t="n">
        <v>0</v>
      </c>
      <c r="Q60" s="13" t="n">
        <v>0</v>
      </c>
      <c r="R60" s="13"/>
      <c r="S60" s="13"/>
      <c r="T60" s="14" t="n">
        <v>0</v>
      </c>
      <c r="U60" s="14" t="n">
        <v>0</v>
      </c>
    </row>
    <row r="61" customFormat="false" ht="14.25" hidden="false" customHeight="false" outlineLevel="0" collapsed="false">
      <c r="A61" s="2" t="n">
        <v>0</v>
      </c>
      <c r="B61" s="2" t="n">
        <v>20</v>
      </c>
      <c r="C61" s="15" t="n">
        <v>121800000</v>
      </c>
      <c r="D61" s="5" t="n">
        <f aca="false">IF(C61&lt;$B$50,0,IF(C61&lt;$B$51,$B$50,IF(C61&lt;$B$52,$B$51,IF(C61&lt;$B$53,$B$52,$B$52))))</f>
        <v>75621314.5275695</v>
      </c>
      <c r="E61" s="1" t="n">
        <f aca="false">IF(C61&lt;$B$50,0,IF(C61&lt;$B$51,$E$51,IF(C61&lt;$B$52,$E$52,IF(C61&lt;$B$53,$E$53,$E$53))))</f>
        <v>8.52170709229118E-012</v>
      </c>
      <c r="F61" s="3" t="n">
        <f aca="false">IF(C61&lt;$B$50,0,IF(C61&lt;$B$51,$F$50,IF(C61&lt;$B$52,$F$51,IF(C61&lt;$B$53,$F$52,$F$52))))</f>
        <v>8.99865622700018E-005</v>
      </c>
      <c r="G61" s="0" t="n">
        <f aca="false">IF(C61&lt;$B$50,0,IF(C61&lt;$B$51,$G$51,IF(C61&lt;$B$52,$G$52,IF(C61&lt;$B$53,$G$53,$G$53))))</f>
        <v>-1.57854161305256E-009</v>
      </c>
      <c r="H61" s="0" t="n">
        <f aca="false">IF(C61&lt;$B$50,0,IF(C61&lt;$B$51,$H$50,IF(C61&lt;$B$52,$H$51,IF(C61&lt;$B$53,$H$52,$H$52))))</f>
        <v>0.233605418891188</v>
      </c>
      <c r="I61" s="0" t="n">
        <f aca="false">(C61-D61)*E61+F61</f>
        <v>0.000483507793773096</v>
      </c>
      <c r="J61" s="4" t="n">
        <f aca="false">(C61-D61)*G61+H61</f>
        <v>0.160710442236891</v>
      </c>
      <c r="K61" s="1" t="n">
        <f aca="false">EXP($B$55*(B61-$B$56))</f>
        <v>1</v>
      </c>
      <c r="L61" s="1" t="n">
        <f aca="false">(N60/(I61*K61))^(1/J61)</f>
        <v>0</v>
      </c>
      <c r="M61" s="1" t="n">
        <f aca="false">L61+A61</f>
        <v>0</v>
      </c>
      <c r="N61" s="1" t="n">
        <f aca="false">K61*I61*(M61^J61)</f>
        <v>0</v>
      </c>
      <c r="Q61" s="13" t="n">
        <f aca="false">((C61^($R$51/$R$52))*A61)+Q60</f>
        <v>0</v>
      </c>
      <c r="R61" s="13" t="n">
        <f aca="false">$R$53*(Q61^$R$52)</f>
        <v>0</v>
      </c>
      <c r="S61" s="14" t="n">
        <f aca="false">(U60/((C61^$R$51)*$R$53))^(1/$R$52)</f>
        <v>0</v>
      </c>
      <c r="T61" s="14" t="n">
        <f aca="false">S61+A61</f>
        <v>0</v>
      </c>
      <c r="U61" s="14" t="n">
        <f aca="false">$R$53*(C61^$R$51)*(T61^$R$52)</f>
        <v>0</v>
      </c>
    </row>
    <row r="62" customFormat="false" ht="14.25" hidden="false" customHeight="false" outlineLevel="0" collapsed="false">
      <c r="A62" s="2" t="n">
        <v>1000</v>
      </c>
      <c r="B62" s="2" t="n">
        <v>20</v>
      </c>
      <c r="C62" s="15" t="n">
        <v>121800000</v>
      </c>
      <c r="D62" s="5" t="n">
        <f aca="false">IF(C62&lt;$B$50,0,IF(C62&lt;$B$51,$B$50,IF(C62&lt;$B$52,$B$51,IF(C62&lt;$B$53,$B$52,$B$52))))</f>
        <v>75621314.5275695</v>
      </c>
      <c r="E62" s="1" t="n">
        <f aca="false">IF(C62&lt;$B$50,0,IF(C62&lt;$B$51,$E$51,IF(C62&lt;$B$52,$E$52,IF(C62&lt;$B$53,$E$53,$E$53))))</f>
        <v>8.52170709229118E-012</v>
      </c>
      <c r="F62" s="3" t="n">
        <f aca="false">IF(C62&lt;$B$50,0,IF(C62&lt;$B$51,$F$50,IF(C62&lt;$B$52,$F$51,IF(C62&lt;$B$53,$F$52,$F$52))))</f>
        <v>8.99865622700018E-005</v>
      </c>
      <c r="G62" s="0" t="n">
        <f aca="false">IF(C62&lt;$B$50,0,IF(C62&lt;$B$51,$G$51,IF(C62&lt;$B$52,$G$52,IF(C62&lt;$B$53,$G$53,$G$53))))</f>
        <v>-1.57854161305256E-009</v>
      </c>
      <c r="H62" s="0" t="n">
        <f aca="false">IF(C62&lt;$B$50,0,IF(C62&lt;$B$51,$H$50,IF(C62&lt;$B$52,$H$51,IF(C62&lt;$B$53,$H$52,$H$52))))</f>
        <v>0.233605418891188</v>
      </c>
      <c r="I62" s="4" t="n">
        <f aca="false">(C62-D62)*E62+F62</f>
        <v>0.000483507793773096</v>
      </c>
      <c r="J62" s="0" t="n">
        <f aca="false">(C62-D62)*G62+H62</f>
        <v>0.160710442236891</v>
      </c>
      <c r="K62" s="1" t="n">
        <f aca="false">EXP($B$55*(B62-$B$56))</f>
        <v>1</v>
      </c>
      <c r="L62" s="1" t="n">
        <f aca="false">(N61/(I62*K62))^(1/J62)</f>
        <v>0</v>
      </c>
      <c r="M62" s="1" t="n">
        <f aca="false">L62+A62</f>
        <v>1000</v>
      </c>
      <c r="N62" s="1" t="n">
        <f aca="false">K62*I62*(M62^J62)</f>
        <v>0.0014673536803752</v>
      </c>
      <c r="Q62" s="13" t="n">
        <f aca="false">((C62^($R$51/$R$52))*A62)+Q61</f>
        <v>5044019373229.12</v>
      </c>
      <c r="R62" s="13" t="n">
        <f aca="false">$R$53*(Q62^$R$52)</f>
        <v>7493.14593349566</v>
      </c>
      <c r="S62" s="14" t="n">
        <f aca="false">(U61/((C62^$R$51)*$R$53))^(1/$R$52)</f>
        <v>0</v>
      </c>
      <c r="T62" s="14" t="n">
        <f aca="false">S62+A62</f>
        <v>1000</v>
      </c>
      <c r="U62" s="14" t="n">
        <f aca="false">$R$53*(C62^$R$51)*(T62^$R$52)</f>
        <v>7493.14593349566</v>
      </c>
    </row>
    <row r="63" customFormat="false" ht="14.25" hidden="false" customHeight="false" outlineLevel="0" collapsed="false">
      <c r="A63" s="2" t="n">
        <v>1000</v>
      </c>
      <c r="B63" s="2" t="n">
        <v>20</v>
      </c>
      <c r="C63" s="15" t="n">
        <v>121800000</v>
      </c>
      <c r="D63" s="5" t="n">
        <f aca="false">IF(C63&lt;$B$50,0,IF(C63&lt;$B$51,$B$50,IF(C63&lt;$B$52,$B$51,IF(C63&lt;$B$53,$B$52,$B$52))))</f>
        <v>75621314.5275695</v>
      </c>
      <c r="E63" s="1" t="n">
        <f aca="false">IF(C63&lt;$B$50,0,IF(C63&lt;$B$51,$E$51,IF(C63&lt;$B$52,$E$52,IF(C63&lt;$B$53,$E$53,$E$53))))</f>
        <v>8.52170709229118E-012</v>
      </c>
      <c r="F63" s="3" t="n">
        <f aca="false">IF(C63&lt;$B$50,0,IF(C63&lt;$B$51,$F$50,IF(C63&lt;$B$52,$F$51,IF(C63&lt;$B$53,$F$52,$F$52))))</f>
        <v>8.99865622700018E-005</v>
      </c>
      <c r="G63" s="0" t="n">
        <f aca="false">IF(C63&lt;$B$50,0,IF(C63&lt;$B$51,$G$51,IF(C63&lt;$B$52,$G$52,IF(C63&lt;$B$53,$G$53,$G$53))))</f>
        <v>-1.57854161305256E-009</v>
      </c>
      <c r="H63" s="0" t="n">
        <f aca="false">IF(C63&lt;$B$50,0,IF(C63&lt;$B$51,$H$50,IF(C63&lt;$B$52,$H$51,IF(C63&lt;$B$53,$H$52,$H$52))))</f>
        <v>0.233605418891188</v>
      </c>
      <c r="I63" s="0" t="n">
        <f aca="false">(C63-D63)*E63+F63</f>
        <v>0.000483507793773096</v>
      </c>
      <c r="J63" s="0" t="n">
        <f aca="false">(C63-D63)*G63+H63</f>
        <v>0.160710442236891</v>
      </c>
      <c r="K63" s="1" t="n">
        <f aca="false">EXP($B$55*(B63-$B$56))</f>
        <v>1</v>
      </c>
      <c r="L63" s="1" t="n">
        <f aca="false">(N62/(I63*K63))^(1/J63)</f>
        <v>1000</v>
      </c>
      <c r="M63" s="1" t="n">
        <f aca="false">L63+A63</f>
        <v>2000</v>
      </c>
      <c r="N63" s="1" t="n">
        <f aca="false">K63*I63*(M63^J63)</f>
        <v>0.00164026292800981</v>
      </c>
      <c r="Q63" s="13" t="n">
        <f aca="false">((C63^($R$51/$R$52))*A63)+Q62</f>
        <v>10088038746458.2</v>
      </c>
      <c r="R63" s="13" t="n">
        <f aca="false">$R$53*(Q63^$R$52)</f>
        <v>8910.90245786674</v>
      </c>
      <c r="S63" s="14" t="n">
        <f aca="false">(U62/((C63^$R$51)*$R$53))^(1/$R$52)</f>
        <v>1000</v>
      </c>
      <c r="T63" s="14" t="n">
        <f aca="false">S63+A63</f>
        <v>2000</v>
      </c>
      <c r="U63" s="14" t="n">
        <f aca="false">$R$53*(C63^$R$51)*(T63^$R$52)</f>
        <v>8910.90245786674</v>
      </c>
    </row>
    <row r="64" customFormat="false" ht="14.25" hidden="false" customHeight="false" outlineLevel="0" collapsed="false">
      <c r="A64" s="2" t="n">
        <v>1000</v>
      </c>
      <c r="B64" s="2" t="n">
        <v>20</v>
      </c>
      <c r="C64" s="15" t="n">
        <v>121800000</v>
      </c>
      <c r="D64" s="5" t="n">
        <f aca="false">IF(C64&lt;$B$50,0,IF(C64&lt;$B$51,$B$50,IF(C64&lt;$B$52,$B$51,IF(C64&lt;$B$53,$B$52,$B$52))))</f>
        <v>75621314.5275695</v>
      </c>
      <c r="E64" s="1" t="n">
        <f aca="false">IF(C64&lt;$B$50,0,IF(C64&lt;$B$51,$E$51,IF(C64&lt;$B$52,$E$52,IF(C64&lt;$B$53,$E$53,$E$53))))</f>
        <v>8.52170709229118E-012</v>
      </c>
      <c r="F64" s="3" t="n">
        <f aca="false">IF(C64&lt;$B$50,0,IF(C64&lt;$B$51,$F$50,IF(C64&lt;$B$52,$F$51,IF(C64&lt;$B$53,$F$52,$F$52))))</f>
        <v>8.99865622700018E-005</v>
      </c>
      <c r="G64" s="0" t="n">
        <f aca="false">IF(C64&lt;$B$50,0,IF(C64&lt;$B$51,$G$51,IF(C64&lt;$B$52,$G$52,IF(C64&lt;$B$53,$G$53,$G$53))))</f>
        <v>-1.57854161305256E-009</v>
      </c>
      <c r="H64" s="0" t="n">
        <f aca="false">IF(C64&lt;$B$50,0,IF(C64&lt;$B$51,$H$50,IF(C64&lt;$B$52,$H$51,IF(C64&lt;$B$53,$H$52,$H$52))))</f>
        <v>0.233605418891188</v>
      </c>
      <c r="I64" s="0" t="n">
        <f aca="false">(C64-D64)*E64+F64</f>
        <v>0.000483507793773096</v>
      </c>
      <c r="J64" s="0" t="n">
        <f aca="false">(C64-D64)*G64+H64</f>
        <v>0.160710442236891</v>
      </c>
      <c r="K64" s="1" t="n">
        <f aca="false">EXP($B$55*(B64-$B$56))</f>
        <v>1</v>
      </c>
      <c r="L64" s="1" t="n">
        <f aca="false">(N63/(I64*K64))^(1/J64)</f>
        <v>2000</v>
      </c>
      <c r="M64" s="1" t="n">
        <f aca="false">L64+A64</f>
        <v>3000</v>
      </c>
      <c r="N64" s="1" t="n">
        <f aca="false">K64*I64*(M64^J64)</f>
        <v>0.00175070581202212</v>
      </c>
      <c r="Q64" s="13" t="n">
        <f aca="false">((C64^($R$51/$R$52))*A64)+Q63</f>
        <v>15132058119687.4</v>
      </c>
      <c r="R64" s="13" t="n">
        <f aca="false">$R$53*(Q64^$R$52)</f>
        <v>9861.53463833428</v>
      </c>
      <c r="S64" s="14" t="n">
        <f aca="false">(U63/((C64^$R$51)*$R$53))^(1/$R$52)</f>
        <v>2000</v>
      </c>
      <c r="T64" s="14" t="n">
        <f aca="false">S64+A64</f>
        <v>3000</v>
      </c>
      <c r="U64" s="14" t="n">
        <f aca="false">$R$53*(C64^$R$51)*(T64^$R$52)</f>
        <v>9861.53463833428</v>
      </c>
    </row>
    <row r="65" customFormat="false" ht="14.25" hidden="false" customHeight="false" outlineLevel="0" collapsed="false">
      <c r="A65" s="2" t="n">
        <v>1000</v>
      </c>
      <c r="B65" s="2" t="n">
        <v>20</v>
      </c>
      <c r="C65" s="15" t="n">
        <v>121800000</v>
      </c>
      <c r="D65" s="5" t="n">
        <f aca="false">IF(C65&lt;$B$50,0,IF(C65&lt;$B$51,$B$50,IF(C65&lt;$B$52,$B$51,IF(C65&lt;$B$53,$B$52,$B$52))))</f>
        <v>75621314.5275695</v>
      </c>
      <c r="E65" s="1" t="n">
        <f aca="false">IF(C65&lt;$B$50,0,IF(C65&lt;$B$51,$E$51,IF(C65&lt;$B$52,$E$52,IF(C65&lt;$B$53,$E$53,$E$53))))</f>
        <v>8.52170709229118E-012</v>
      </c>
      <c r="F65" s="3" t="n">
        <f aca="false">IF(C65&lt;$B$50,0,IF(C65&lt;$B$51,$F$50,IF(C65&lt;$B$52,$F$51,IF(C65&lt;$B$53,$F$52,$F$52))))</f>
        <v>8.99865622700018E-005</v>
      </c>
      <c r="G65" s="0" t="n">
        <f aca="false">IF(C65&lt;$B$50,0,IF(C65&lt;$B$51,$G$51,IF(C65&lt;$B$52,$G$52,IF(C65&lt;$B$53,$G$53,$G$53))))</f>
        <v>-1.57854161305256E-009</v>
      </c>
      <c r="H65" s="0" t="n">
        <f aca="false">IF(C65&lt;$B$50,0,IF(C65&lt;$B$51,$H$50,IF(C65&lt;$B$52,$H$51,IF(C65&lt;$B$53,$H$52,$H$52))))</f>
        <v>0.233605418891188</v>
      </c>
      <c r="I65" s="0" t="n">
        <f aca="false">(C65-D65)*E65+F65</f>
        <v>0.000483507793773096</v>
      </c>
      <c r="J65" s="0" t="n">
        <f aca="false">(C65-D65)*G65+H65</f>
        <v>0.160710442236891</v>
      </c>
      <c r="K65" s="1" t="n">
        <f aca="false">EXP($B$55*(B65-$B$56))</f>
        <v>1</v>
      </c>
      <c r="L65" s="1" t="n">
        <f aca="false">(N64/(I65*K65))^(1/J65)</f>
        <v>3000</v>
      </c>
      <c r="M65" s="1" t="n">
        <f aca="false">L65+A65</f>
        <v>4000</v>
      </c>
      <c r="N65" s="1" t="n">
        <f aca="false">K65*I65*(M65^J65)</f>
        <v>0.00183354736420149</v>
      </c>
      <c r="Q65" s="13" t="n">
        <f aca="false">((C65^($R$51/$R$52))*A65)+Q64</f>
        <v>20176077492916.5</v>
      </c>
      <c r="R65" s="13" t="n">
        <f aca="false">$R$53*(Q65^$R$52)</f>
        <v>10596.9086039904</v>
      </c>
      <c r="S65" s="14" t="n">
        <f aca="false">(U64/((C65^$R$51)*$R$53))^(1/$R$52)</f>
        <v>3000</v>
      </c>
      <c r="T65" s="14" t="n">
        <f aca="false">S65+A65</f>
        <v>4000</v>
      </c>
      <c r="U65" s="14" t="n">
        <f aca="false">$R$53*(C65^$R$51)*(T65^$R$52)</f>
        <v>10596.9086039904</v>
      </c>
    </row>
    <row r="66" customFormat="false" ht="14.25" hidden="false" customHeight="false" outlineLevel="0" collapsed="false">
      <c r="A66" s="2" t="n">
        <v>1000</v>
      </c>
      <c r="B66" s="2" t="n">
        <v>20</v>
      </c>
      <c r="C66" s="15" t="n">
        <v>121800000</v>
      </c>
      <c r="D66" s="5" t="n">
        <f aca="false">IF(C66&lt;$B$50,0,IF(C66&lt;$B$51,$B$50,IF(C66&lt;$B$52,$B$51,IF(C66&lt;$B$53,$B$52,$B$52))))</f>
        <v>75621314.5275695</v>
      </c>
      <c r="E66" s="1" t="n">
        <f aca="false">IF(C66&lt;$B$50,0,IF(C66&lt;$B$51,$E$51,IF(C66&lt;$B$52,$E$52,IF(C66&lt;$B$53,$E$53,$E$53))))</f>
        <v>8.52170709229118E-012</v>
      </c>
      <c r="F66" s="3" t="n">
        <f aca="false">IF(C66&lt;$B$50,0,IF(C66&lt;$B$51,$F$50,IF(C66&lt;$B$52,$F$51,IF(C66&lt;$B$53,$F$52,$F$52))))</f>
        <v>8.99865622700018E-005</v>
      </c>
      <c r="G66" s="0" t="n">
        <f aca="false">IF(C66&lt;$B$50,0,IF(C66&lt;$B$51,$G$51,IF(C66&lt;$B$52,$G$52,IF(C66&lt;$B$53,$G$53,$G$53))))</f>
        <v>-1.57854161305256E-009</v>
      </c>
      <c r="H66" s="0" t="n">
        <f aca="false">IF(C66&lt;$B$50,0,IF(C66&lt;$B$51,$H$50,IF(C66&lt;$B$52,$H$51,IF(C66&lt;$B$53,$H$52,$H$52))))</f>
        <v>0.233605418891188</v>
      </c>
      <c r="I66" s="0" t="n">
        <f aca="false">(C66-D66)*E66+F66</f>
        <v>0.000483507793773096</v>
      </c>
      <c r="J66" s="0" t="n">
        <f aca="false">(C66-D66)*G66+H66</f>
        <v>0.160710442236891</v>
      </c>
      <c r="K66" s="1" t="n">
        <f aca="false">EXP($B$55*(B66-$B$56))</f>
        <v>1</v>
      </c>
      <c r="L66" s="1" t="n">
        <f aca="false">(N65/(I66*K66))^(1/J66)</f>
        <v>4000</v>
      </c>
      <c r="M66" s="1" t="n">
        <f aca="false">L66+A66</f>
        <v>5000</v>
      </c>
      <c r="N66" s="1" t="n">
        <f aca="false">K66*I66*(M66^J66)</f>
        <v>0.00190049435596621</v>
      </c>
      <c r="Q66" s="13" t="n">
        <f aca="false">((C66^($R$51/$R$52))*A66)+Q65</f>
        <v>25220096866145.6</v>
      </c>
      <c r="R66" s="13" t="n">
        <f aca="false">$R$53*(Q66^$R$52)</f>
        <v>11204.8666391655</v>
      </c>
      <c r="S66" s="14" t="n">
        <f aca="false">(U65/((C66^$R$51)*$R$53))^(1/$R$52)</f>
        <v>4000</v>
      </c>
      <c r="T66" s="14" t="n">
        <f aca="false">S66+A66</f>
        <v>5000</v>
      </c>
      <c r="U66" s="14" t="n">
        <f aca="false">$R$53*(C66^$R$51)*(T66^$R$52)</f>
        <v>11204.8666391655</v>
      </c>
    </row>
    <row r="67" customFormat="false" ht="14.25" hidden="false" customHeight="false" outlineLevel="0" collapsed="false">
      <c r="A67" s="2" t="n">
        <v>1000</v>
      </c>
      <c r="B67" s="2" t="n">
        <v>20</v>
      </c>
      <c r="C67" s="15" t="n">
        <v>121800000</v>
      </c>
      <c r="D67" s="5" t="n">
        <f aca="false">IF(C67&lt;$B$50,0,IF(C67&lt;$B$51,$B$50,IF(C67&lt;$B$52,$B$51,IF(C67&lt;$B$53,$B$52,$B$52))))</f>
        <v>75621314.5275695</v>
      </c>
      <c r="E67" s="1" t="n">
        <f aca="false">IF(C67&lt;$B$50,0,IF(C67&lt;$B$51,$E$51,IF(C67&lt;$B$52,$E$52,IF(C67&lt;$B$53,$E$53,$E$53))))</f>
        <v>8.52170709229118E-012</v>
      </c>
      <c r="F67" s="3" t="n">
        <f aca="false">IF(C67&lt;$B$50,0,IF(C67&lt;$B$51,$F$50,IF(C67&lt;$B$52,$F$51,IF(C67&lt;$B$53,$F$52,$F$52))))</f>
        <v>8.99865622700018E-005</v>
      </c>
      <c r="G67" s="0" t="n">
        <f aca="false">IF(C67&lt;$B$50,0,IF(C67&lt;$B$51,$G$51,IF(C67&lt;$B$52,$G$52,IF(C67&lt;$B$53,$G$53,$G$53))))</f>
        <v>-1.57854161305256E-009</v>
      </c>
      <c r="H67" s="0" t="n">
        <f aca="false">IF(C67&lt;$B$50,0,IF(C67&lt;$B$51,$H$50,IF(C67&lt;$B$52,$H$51,IF(C67&lt;$B$53,$H$52,$H$52))))</f>
        <v>0.233605418891188</v>
      </c>
      <c r="I67" s="0" t="n">
        <f aca="false">(C67-D67)*E67+F67</f>
        <v>0.000483507793773096</v>
      </c>
      <c r="J67" s="0" t="n">
        <f aca="false">(C67-D67)*G67+H67</f>
        <v>0.160710442236891</v>
      </c>
      <c r="K67" s="1" t="n">
        <f aca="false">EXP($B$55*(B67-$B$56))</f>
        <v>1</v>
      </c>
      <c r="L67" s="1" t="n">
        <f aca="false">(N66/(I67*K67))^(1/J67)</f>
        <v>5000</v>
      </c>
      <c r="M67" s="1" t="n">
        <f aca="false">L67+A67</f>
        <v>6000</v>
      </c>
      <c r="N67" s="1" t="n">
        <f aca="false">K67*I67*(M67^J67)</f>
        <v>0.00195700455842175</v>
      </c>
      <c r="Q67" s="13" t="n">
        <f aca="false">((C67^($R$51/$R$52))*A67)+Q66</f>
        <v>30264116239374.7</v>
      </c>
      <c r="R67" s="13" t="n">
        <f aca="false">$R$53*(Q67^$R$52)</f>
        <v>11727.4071567529</v>
      </c>
      <c r="S67" s="14" t="n">
        <f aca="false">(U66/((C67^$R$51)*$R$53))^(1/$R$52)</f>
        <v>5000</v>
      </c>
      <c r="T67" s="14" t="n">
        <f aca="false">S67+A67</f>
        <v>6000</v>
      </c>
      <c r="U67" s="14" t="n">
        <f aca="false">$R$53*(C67^$R$51)*(T67^$R$52)</f>
        <v>11727.4071567529</v>
      </c>
    </row>
    <row r="68" customFormat="false" ht="14.25" hidden="false" customHeight="false" outlineLevel="0" collapsed="false">
      <c r="A68" s="2" t="n">
        <v>1000</v>
      </c>
      <c r="B68" s="2" t="n">
        <v>20</v>
      </c>
      <c r="C68" s="15" t="n">
        <v>121800000</v>
      </c>
      <c r="D68" s="5" t="n">
        <f aca="false">IF(C68&lt;$B$50,0,IF(C68&lt;$B$51,$B$50,IF(C68&lt;$B$52,$B$51,IF(C68&lt;$B$53,$B$52,$B$52))))</f>
        <v>75621314.5275695</v>
      </c>
      <c r="E68" s="1" t="n">
        <f aca="false">IF(C68&lt;$B$50,0,IF(C68&lt;$B$51,$E$51,IF(C68&lt;$B$52,$E$52,IF(C68&lt;$B$53,$E$53,$E$53))))</f>
        <v>8.52170709229118E-012</v>
      </c>
      <c r="F68" s="3" t="n">
        <f aca="false">IF(C68&lt;$B$50,0,IF(C68&lt;$B$51,$F$50,IF(C68&lt;$B$52,$F$51,IF(C68&lt;$B$53,$F$52,$F$52))))</f>
        <v>8.99865622700018E-005</v>
      </c>
      <c r="G68" s="0" t="n">
        <f aca="false">IF(C68&lt;$B$50,0,IF(C68&lt;$B$51,$G$51,IF(C68&lt;$B$52,$G$52,IF(C68&lt;$B$53,$G$53,$G$53))))</f>
        <v>-1.57854161305256E-009</v>
      </c>
      <c r="H68" s="0" t="n">
        <f aca="false">IF(C68&lt;$B$50,0,IF(C68&lt;$B$51,$H$50,IF(C68&lt;$B$52,$H$51,IF(C68&lt;$B$53,$H$52,$H$52))))</f>
        <v>0.233605418891188</v>
      </c>
      <c r="I68" s="0" t="n">
        <f aca="false">(C68-D68)*E68+F68</f>
        <v>0.000483507793773096</v>
      </c>
      <c r="J68" s="0" t="n">
        <f aca="false">(C68-D68)*G68+H68</f>
        <v>0.160710442236891</v>
      </c>
      <c r="K68" s="1" t="n">
        <f aca="false">EXP($B$55*(B68-$B$56))</f>
        <v>1</v>
      </c>
      <c r="L68" s="1" t="n">
        <f aca="false">(N67/(I68*K68))^(1/J68)</f>
        <v>6000.00000000001</v>
      </c>
      <c r="M68" s="1" t="n">
        <f aca="false">L68+A68</f>
        <v>7000.00000000001</v>
      </c>
      <c r="N68" s="1" t="n">
        <f aca="false">K68*I68*(M68^J68)</f>
        <v>0.00200609218200701</v>
      </c>
      <c r="Q68" s="13" t="n">
        <f aca="false">((C68^($R$51/$R$52))*A68)+Q67</f>
        <v>35308135612603.8</v>
      </c>
      <c r="R68" s="13" t="n">
        <f aca="false">$R$53*(Q68^$R$52)</f>
        <v>12188.1755488051</v>
      </c>
      <c r="S68" s="14" t="n">
        <f aca="false">(U67/((C68^$R$51)*$R$53))^(1/$R$52)</f>
        <v>6000</v>
      </c>
      <c r="T68" s="14" t="n">
        <f aca="false">S68+A68</f>
        <v>7000</v>
      </c>
      <c r="U68" s="14" t="n">
        <f aca="false">$R$53*(C68^$R$51)*(T68^$R$52)</f>
        <v>12188.1755488051</v>
      </c>
    </row>
    <row r="69" customFormat="false" ht="14.25" hidden="false" customHeight="false" outlineLevel="0" collapsed="false">
      <c r="A69" s="2" t="n">
        <v>1000</v>
      </c>
      <c r="B69" s="2" t="n">
        <v>20</v>
      </c>
      <c r="C69" s="15" t="n">
        <v>121800000</v>
      </c>
      <c r="D69" s="5" t="n">
        <f aca="false">IF(C69&lt;$B$50,0,IF(C69&lt;$B$51,$B$50,IF(C69&lt;$B$52,$B$51,IF(C69&lt;$B$53,$B$52,$B$52))))</f>
        <v>75621314.5275695</v>
      </c>
      <c r="E69" s="1" t="n">
        <f aca="false">IF(C69&lt;$B$50,0,IF(C69&lt;$B$51,$E$51,IF(C69&lt;$B$52,$E$52,IF(C69&lt;$B$53,$E$53,$E$53))))</f>
        <v>8.52170709229118E-012</v>
      </c>
      <c r="F69" s="3" t="n">
        <f aca="false">IF(C69&lt;$B$50,0,IF(C69&lt;$B$51,$F$50,IF(C69&lt;$B$52,$F$51,IF(C69&lt;$B$53,$F$52,$F$52))))</f>
        <v>8.99865622700018E-005</v>
      </c>
      <c r="G69" s="0" t="n">
        <f aca="false">IF(C69&lt;$B$50,0,IF(C69&lt;$B$51,$G$51,IF(C69&lt;$B$52,$G$52,IF(C69&lt;$B$53,$G$53,$G$53))))</f>
        <v>-1.57854161305256E-009</v>
      </c>
      <c r="H69" s="0" t="n">
        <f aca="false">IF(C69&lt;$B$50,0,IF(C69&lt;$B$51,$H$50,IF(C69&lt;$B$52,$H$51,IF(C69&lt;$B$53,$H$52,$H$52))))</f>
        <v>0.233605418891188</v>
      </c>
      <c r="I69" s="0" t="n">
        <f aca="false">(C69-D69)*E69+F69</f>
        <v>0.000483507793773096</v>
      </c>
      <c r="J69" s="0" t="n">
        <f aca="false">(C69-D69)*G69+H69</f>
        <v>0.160710442236891</v>
      </c>
      <c r="K69" s="1" t="n">
        <f aca="false">EXP($B$55*(B69-$B$56))</f>
        <v>1</v>
      </c>
      <c r="L69" s="1" t="n">
        <f aca="false">(N68/(I69*K69))^(1/J69)</f>
        <v>7000.00000000001</v>
      </c>
      <c r="M69" s="1" t="n">
        <f aca="false">L69+A69</f>
        <v>8000.00000000001</v>
      </c>
      <c r="N69" s="1" t="n">
        <f aca="false">K69*I69*(M69^J69)</f>
        <v>0.00204960794965314</v>
      </c>
      <c r="Q69" s="13" t="n">
        <f aca="false">((C69^($R$51/$R$52))*A69)+Q68</f>
        <v>40352154985832.9</v>
      </c>
      <c r="R69" s="13" t="n">
        <f aca="false">$R$53*(Q69^$R$52)</f>
        <v>12601.9191088989</v>
      </c>
      <c r="S69" s="14" t="n">
        <f aca="false">(U68/((C69^$R$51)*$R$53))^(1/$R$52)</f>
        <v>7000</v>
      </c>
      <c r="T69" s="14" t="n">
        <f aca="false">S69+A69</f>
        <v>8000</v>
      </c>
      <c r="U69" s="14" t="n">
        <f aca="false">$R$53*(C69^$R$51)*(T69^$R$52)</f>
        <v>12601.9191088989</v>
      </c>
    </row>
    <row r="70" customFormat="false" ht="14.25" hidden="false" customHeight="false" outlineLevel="0" collapsed="false">
      <c r="A70" s="2" t="n">
        <v>1000</v>
      </c>
      <c r="B70" s="2" t="n">
        <v>20</v>
      </c>
      <c r="C70" s="15" t="n">
        <v>121800000</v>
      </c>
      <c r="D70" s="5" t="n">
        <f aca="false">IF(C70&lt;$B$50,0,IF(C70&lt;$B$51,$B$50,IF(C70&lt;$B$52,$B$51,IF(C70&lt;$B$53,$B$52,$B$52))))</f>
        <v>75621314.5275695</v>
      </c>
      <c r="E70" s="1" t="n">
        <f aca="false">IF(C70&lt;$B$50,0,IF(C70&lt;$B$51,$E$51,IF(C70&lt;$B$52,$E$52,IF(C70&lt;$B$53,$E$53,$E$53))))</f>
        <v>8.52170709229118E-012</v>
      </c>
      <c r="F70" s="3" t="n">
        <f aca="false">IF(C70&lt;$B$50,0,IF(C70&lt;$B$51,$F$50,IF(C70&lt;$B$52,$F$51,IF(C70&lt;$B$53,$F$52,$F$52))))</f>
        <v>8.99865622700018E-005</v>
      </c>
      <c r="G70" s="0" t="n">
        <f aca="false">IF(C70&lt;$B$50,0,IF(C70&lt;$B$51,$G$51,IF(C70&lt;$B$52,$G$52,IF(C70&lt;$B$53,$G$53,$G$53))))</f>
        <v>-1.57854161305256E-009</v>
      </c>
      <c r="H70" s="0" t="n">
        <f aca="false">IF(C70&lt;$B$50,0,IF(C70&lt;$B$51,$H$50,IF(C70&lt;$B$52,$H$51,IF(C70&lt;$B$53,$H$52,$H$52))))</f>
        <v>0.233605418891188</v>
      </c>
      <c r="I70" s="0" t="n">
        <f aca="false">(C70-D70)*E70+F70</f>
        <v>0.000483507793773096</v>
      </c>
      <c r="J70" s="0" t="n">
        <f aca="false">(C70-D70)*G70+H70</f>
        <v>0.160710442236891</v>
      </c>
      <c r="K70" s="1" t="n">
        <f aca="false">EXP($B$55*(B70-$B$56))</f>
        <v>1</v>
      </c>
      <c r="L70" s="1" t="n">
        <f aca="false">(N69/(I70*K70))^(1/J70)</f>
        <v>8000.00000000001</v>
      </c>
      <c r="M70" s="1" t="n">
        <f aca="false">L70+A70</f>
        <v>9000</v>
      </c>
      <c r="N70" s="1" t="n">
        <f aca="false">K70*I70*(M70^J70)</f>
        <v>0.00208877442517085</v>
      </c>
      <c r="Q70" s="13" t="n">
        <f aca="false">((C70^($R$51/$R$52))*A70)+Q69</f>
        <v>45396174359062.1</v>
      </c>
      <c r="R70" s="13" t="n">
        <f aca="false">$R$53*(Q70^$R$52)</f>
        <v>12978.5094653426</v>
      </c>
      <c r="S70" s="14" t="n">
        <f aca="false">(U69/((C70^$R$51)*$R$53))^(1/$R$52)</f>
        <v>8000</v>
      </c>
      <c r="T70" s="14" t="n">
        <f aca="false">S70+A70</f>
        <v>9000</v>
      </c>
      <c r="U70" s="14" t="n">
        <f aca="false">$R$53*(C70^$R$51)*(T70^$R$52)</f>
        <v>12978.5094653426</v>
      </c>
    </row>
    <row r="71" customFormat="false" ht="14.25" hidden="false" customHeight="false" outlineLevel="0" collapsed="false">
      <c r="A71" s="2" t="n">
        <v>1000</v>
      </c>
      <c r="B71" s="2" t="n">
        <v>20</v>
      </c>
      <c r="C71" s="15" t="n">
        <v>121800000</v>
      </c>
      <c r="D71" s="5" t="n">
        <f aca="false">IF(C71&lt;$B$50,0,IF(C71&lt;$B$51,$B$50,IF(C71&lt;$B$52,$B$51,IF(C71&lt;$B$53,$B$52,$B$52))))</f>
        <v>75621314.5275695</v>
      </c>
      <c r="E71" s="1" t="n">
        <f aca="false">IF(C71&lt;$B$50,0,IF(C71&lt;$B$51,$E$51,IF(C71&lt;$B$52,$E$52,IF(C71&lt;$B$53,$E$53,$E$53))))</f>
        <v>8.52170709229118E-012</v>
      </c>
      <c r="F71" s="3" t="n">
        <f aca="false">IF(C71&lt;$B$50,0,IF(C71&lt;$B$51,$F$50,IF(C71&lt;$B$52,$F$51,IF(C71&lt;$B$53,$F$52,$F$52))))</f>
        <v>8.99865622700018E-005</v>
      </c>
      <c r="G71" s="0" t="n">
        <f aca="false">IF(C71&lt;$B$50,0,IF(C71&lt;$B$51,$G$51,IF(C71&lt;$B$52,$G$52,IF(C71&lt;$B$53,$G$53,$G$53))))</f>
        <v>-1.57854161305256E-009</v>
      </c>
      <c r="H71" s="0" t="n">
        <f aca="false">IF(C71&lt;$B$50,0,IF(C71&lt;$B$51,$H$50,IF(C71&lt;$B$52,$H$51,IF(C71&lt;$B$53,$H$52,$H$52))))</f>
        <v>0.233605418891188</v>
      </c>
      <c r="I71" s="0" t="n">
        <f aca="false">(C71-D71)*E71+F71</f>
        <v>0.000483507793773096</v>
      </c>
      <c r="J71" s="0" t="n">
        <f aca="false">(C71-D71)*G71+H71</f>
        <v>0.160710442236891</v>
      </c>
      <c r="K71" s="1" t="n">
        <f aca="false">EXP($B$55*(B71-$B$56))</f>
        <v>1</v>
      </c>
      <c r="L71" s="1" t="n">
        <f aca="false">(N70/(I71*K71))^(1/J71)</f>
        <v>9000</v>
      </c>
      <c r="M71" s="1" t="n">
        <f aca="false">L71+A71</f>
        <v>10000</v>
      </c>
      <c r="N71" s="1" t="n">
        <f aca="false">K71*I71*(M71^J71)</f>
        <v>0.00212444380565847</v>
      </c>
    </row>
    <row r="76" customFormat="false" ht="14.25" hidden="false" customHeight="false" outlineLevel="0" collapsed="false">
      <c r="A76" s="0" t="s">
        <v>70</v>
      </c>
    </row>
    <row r="77" customFormat="false" ht="14.25" hidden="false" customHeight="false" outlineLevel="0" collapsed="false">
      <c r="A77" s="0" t="s">
        <v>71</v>
      </c>
      <c r="B77" s="0" t="n">
        <v>12.8831037459561</v>
      </c>
    </row>
    <row r="78" customFormat="false" ht="14.25" hidden="false" customHeight="false" outlineLevel="0" collapsed="false">
      <c r="A78" s="0" t="s">
        <v>72</v>
      </c>
      <c r="B78" s="0" t="n">
        <v>20.4336203885361</v>
      </c>
    </row>
    <row r="79" customFormat="false" ht="14.25" hidden="false" customHeight="false" outlineLevel="0" collapsed="false">
      <c r="A79" s="0" t="s">
        <v>73</v>
      </c>
      <c r="B79" s="0" t="n">
        <v>3.21313509348801</v>
      </c>
    </row>
    <row r="80" customFormat="false" ht="14.25" hidden="false" customHeight="false" outlineLevel="0" collapsed="false">
      <c r="A80" s="0" t="s">
        <v>74</v>
      </c>
      <c r="B80" s="0" t="n">
        <v>-95417.8054866974</v>
      </c>
    </row>
    <row r="81" customFormat="false" ht="14.25" hidden="false" customHeight="false" outlineLevel="0" collapsed="false">
      <c r="A81" s="0" t="s">
        <v>75</v>
      </c>
      <c r="B81" s="0" t="n">
        <v>223.373842029038</v>
      </c>
    </row>
    <row r="82" customFormat="false" ht="14.25" hidden="false" customHeight="false" outlineLevel="0" collapsed="false">
      <c r="A82" s="0" t="s">
        <v>76</v>
      </c>
      <c r="B82" s="0" t="n">
        <v>0.103884177540269</v>
      </c>
    </row>
    <row r="87" customFormat="false" ht="14.25" hidden="false" customHeight="false" outlineLevel="0" collapsed="false">
      <c r="A87" s="0" t="n">
        <v>0</v>
      </c>
      <c r="B87" s="0" t="n">
        <f aca="false">$B$80*A87^2+$B$81*A87+$B$82</f>
        <v>0.103884177540269</v>
      </c>
    </row>
    <row r="88" customFormat="false" ht="14.25" hidden="false" customHeight="false" outlineLevel="0" collapsed="false">
      <c r="A88" s="4" t="n">
        <v>0.0005</v>
      </c>
      <c r="B88" s="0" t="n">
        <f aca="false">$B$80*A88^2+$B$81*A88+$B$82</f>
        <v>0.191716647183114</v>
      </c>
    </row>
    <row r="89" customFormat="false" ht="14.25" hidden="false" customHeight="false" outlineLevel="0" collapsed="false">
      <c r="A89" s="0" t="n">
        <v>0.001</v>
      </c>
      <c r="B89" s="0" t="n">
        <f aca="false">$B$80*A89^2+$B$81*A89+$B$82</f>
        <v>0.23184021408261</v>
      </c>
    </row>
    <row r="90" customFormat="false" ht="14.25" hidden="false" customHeight="false" outlineLevel="0" collapsed="false">
      <c r="A90" s="4" t="n">
        <v>0.0015</v>
      </c>
      <c r="B90" s="0" t="n">
        <f aca="false">$B$80*A90^2+$B$81*A90+$B$82</f>
        <v>0.224254878238757</v>
      </c>
    </row>
    <row r="91" customFormat="false" ht="14.25" hidden="false" customHeight="false" outlineLevel="0" collapsed="false">
      <c r="A91" s="0" t="n">
        <v>0.002</v>
      </c>
      <c r="B91" s="0" t="n">
        <f aca="false">$B$80*A91^2+$B$81*A91+$B$82</f>
        <v>0.168960639651555</v>
      </c>
    </row>
  </sheetData>
  <mergeCells count="5">
    <mergeCell ref="B9:D9"/>
    <mergeCell ref="E9:G9"/>
    <mergeCell ref="H9:J9"/>
    <mergeCell ref="K9:M9"/>
    <mergeCell ref="A21:C21"/>
  </mergeCells>
  <printOptions headings="false" gridLines="false" gridLinesSet="true" horizontalCentered="false" verticalCentered="false"/>
  <pageMargins left="0" right="0" top="0.39375" bottom="0.39375" header="0" footer="0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09375" defaultRowHeight="14.25" zeroHeight="false" outlineLevelRow="0" outlineLevelCol="0"/>
  <sheetData>
    <row r="1" customFormat="false" ht="14.25" hidden="false" customHeight="false" outlineLevel="0" collapsed="false">
      <c r="A1" s="0" t="n">
        <v>0</v>
      </c>
      <c r="B1" s="0" t="n">
        <v>0</v>
      </c>
      <c r="C1" s="0" t="n">
        <v>0</v>
      </c>
    </row>
    <row r="2" customFormat="false" ht="14.25" hidden="false" customHeight="false" outlineLevel="0" collapsed="false">
      <c r="A2" s="0" t="n">
        <v>0.002</v>
      </c>
      <c r="B2" s="0" t="n">
        <v>72695.5</v>
      </c>
      <c r="C2" s="0" t="n">
        <v>7096.08</v>
      </c>
    </row>
    <row r="3" customFormat="false" ht="14.25" hidden="false" customHeight="false" outlineLevel="0" collapsed="false">
      <c r="A3" s="0" t="n">
        <v>0.002</v>
      </c>
      <c r="B3" s="0" t="n">
        <v>72695.5</v>
      </c>
      <c r="C3" s="0" t="n">
        <v>7096.08</v>
      </c>
    </row>
    <row r="4" customFormat="false" ht="14.25" hidden="false" customHeight="false" outlineLevel="0" collapsed="false">
      <c r="A4" s="0" t="n">
        <v>0.003</v>
      </c>
      <c r="B4" s="0" t="n">
        <v>101406</v>
      </c>
      <c r="C4" s="0" t="n">
        <v>44579.1</v>
      </c>
    </row>
    <row r="5" customFormat="false" ht="14.25" hidden="false" customHeight="false" outlineLevel="0" collapsed="false">
      <c r="A5" s="0" t="n">
        <v>0.004</v>
      </c>
      <c r="B5" s="0" t="n">
        <v>122142</v>
      </c>
      <c r="C5" s="0" t="n">
        <v>78872.5</v>
      </c>
    </row>
    <row r="6" customFormat="false" ht="14.25" hidden="false" customHeight="false" outlineLevel="0" collapsed="false">
      <c r="A6" s="0" t="n">
        <v>0.005</v>
      </c>
      <c r="B6" s="0" t="n">
        <v>136729</v>
      </c>
      <c r="C6" s="0" t="n">
        <v>106042</v>
      </c>
    </row>
    <row r="7" customFormat="false" ht="14.25" hidden="false" customHeight="false" outlineLevel="0" collapsed="false">
      <c r="A7" s="0" t="n">
        <v>0.006</v>
      </c>
      <c r="B7" s="0" t="n">
        <v>150178</v>
      </c>
      <c r="C7" s="0" t="n">
        <v>125343</v>
      </c>
    </row>
    <row r="8" customFormat="false" ht="14.25" hidden="false" customHeight="false" outlineLevel="0" collapsed="false">
      <c r="A8" s="0" t="n">
        <v>0.004</v>
      </c>
      <c r="B8" s="0" t="n">
        <v>91816.9</v>
      </c>
      <c r="C8" s="0" t="n">
        <v>50316.8</v>
      </c>
    </row>
    <row r="15" customFormat="false" ht="14.25" hidden="false" customHeight="false" outlineLevel="0" collapsed="false">
      <c r="A15" s="0" t="n">
        <v>0</v>
      </c>
      <c r="B15" s="0" t="n">
        <v>0</v>
      </c>
      <c r="C15" s="4" t="n">
        <v>164100000000</v>
      </c>
    </row>
    <row r="16" customFormat="false" ht="14.25" hidden="false" customHeight="false" outlineLevel="0" collapsed="false">
      <c r="A16" s="0" t="n">
        <v>0.001</v>
      </c>
      <c r="B16" s="4" t="n">
        <v>165992000</v>
      </c>
      <c r="C16" s="4" t="n">
        <v>167681000000</v>
      </c>
    </row>
    <row r="17" customFormat="false" ht="14.25" hidden="false" customHeight="false" outlineLevel="0" collapsed="false">
      <c r="A17" s="0" t="n">
        <v>0.002</v>
      </c>
      <c r="B17" s="4" t="n">
        <v>334566000</v>
      </c>
      <c r="C17" s="4" t="n">
        <v>168875000000</v>
      </c>
    </row>
    <row r="18" customFormat="false" ht="14.25" hidden="false" customHeight="false" outlineLevel="0" collapsed="false">
      <c r="A18" s="0" t="n">
        <v>0.003</v>
      </c>
      <c r="B18" s="4" t="n">
        <v>502166000</v>
      </c>
      <c r="C18" s="4" t="n">
        <v>165344000000</v>
      </c>
    </row>
    <row r="19" customFormat="false" ht="14.25" hidden="false" customHeight="false" outlineLevel="0" collapsed="false">
      <c r="A19" s="0" t="n">
        <v>0.004</v>
      </c>
      <c r="B19" s="4" t="n">
        <v>662898000</v>
      </c>
      <c r="C19" s="4" t="n">
        <v>154748000000</v>
      </c>
    </row>
    <row r="20" customFormat="false" ht="14.25" hidden="false" customHeight="false" outlineLevel="0" collapsed="false">
      <c r="A20" s="0" t="n">
        <v>0.005</v>
      </c>
      <c r="B20" s="4" t="n">
        <v>808527000</v>
      </c>
      <c r="C20" s="4" t="n">
        <v>134749000000</v>
      </c>
    </row>
    <row r="21" customFormat="false" ht="14.25" hidden="false" customHeight="false" outlineLevel="0" collapsed="false">
      <c r="A21" s="0" t="n">
        <v>0.006</v>
      </c>
      <c r="B21" s="4" t="n">
        <v>928481000</v>
      </c>
      <c r="C21" s="4" t="n">
        <v>103007000000</v>
      </c>
    </row>
    <row r="22" customFormat="false" ht="14.25" hidden="false" customHeight="false" outlineLevel="0" collapsed="false">
      <c r="A22" s="0" t="n">
        <v>0.005</v>
      </c>
      <c r="B22" s="4" t="n">
        <v>740281000</v>
      </c>
      <c r="C22" s="4" t="n">
        <v>188200000000</v>
      </c>
    </row>
    <row r="23" customFormat="false" ht="14.25" hidden="false" customHeight="false" outlineLevel="0" collapsed="false">
      <c r="A23" s="0" t="n">
        <v>0.004</v>
      </c>
      <c r="B23" s="4" t="n">
        <v>552081000</v>
      </c>
      <c r="C23" s="4" t="n">
        <v>188200000000</v>
      </c>
    </row>
    <row r="24" customFormat="false" ht="14.25" hidden="false" customHeight="false" outlineLevel="0" collapsed="false">
      <c r="A24" s="0" t="n">
        <v>0.003</v>
      </c>
      <c r="B24" s="4" t="n">
        <v>363882000</v>
      </c>
      <c r="C24" s="4" t="n">
        <v>188195000000</v>
      </c>
    </row>
    <row r="25" customFormat="false" ht="14.25" hidden="false" customHeight="false" outlineLevel="0" collapsed="false">
      <c r="A25" s="0" t="n">
        <v>0.002</v>
      </c>
      <c r="B25" s="4" t="n">
        <v>175711000</v>
      </c>
      <c r="C25" s="4" t="n">
        <v>188118000000</v>
      </c>
    </row>
    <row r="26" customFormat="false" ht="14.25" hidden="false" customHeight="false" outlineLevel="0" collapsed="false">
      <c r="A26" s="0" t="n">
        <v>0.001</v>
      </c>
      <c r="B26" s="4" t="n">
        <v>-12173800</v>
      </c>
      <c r="C26" s="4" t="n">
        <v>187444000000</v>
      </c>
    </row>
    <row r="27" customFormat="false" ht="14.25" hidden="false" customHeight="false" outlineLevel="0" collapsed="false">
      <c r="A27" s="0" t="n">
        <v>0</v>
      </c>
      <c r="B27" s="4" t="n">
        <v>-198202000</v>
      </c>
      <c r="C27" s="4" t="n">
        <v>183676000000</v>
      </c>
    </row>
    <row r="28" customFormat="false" ht="14.25" hidden="false" customHeight="false" outlineLevel="0" collapsed="false">
      <c r="A28" s="0" t="n">
        <v>-0.001</v>
      </c>
      <c r="B28" s="4" t="n">
        <v>-376186000</v>
      </c>
      <c r="C28" s="4" t="n">
        <v>169820000000</v>
      </c>
    </row>
    <row r="29" customFormat="false" ht="14.25" hidden="false" customHeight="false" outlineLevel="0" collapsed="false">
      <c r="A29" s="0" t="n">
        <v>-0.002</v>
      </c>
      <c r="B29" s="4" t="n">
        <v>-532419000</v>
      </c>
      <c r="C29" s="4" t="n">
        <v>140604000000</v>
      </c>
    </row>
    <row r="30" customFormat="false" ht="14.25" hidden="false" customHeight="false" outlineLevel="0" collapsed="false">
      <c r="A30" s="0" t="n">
        <v>-0.003</v>
      </c>
      <c r="B30" s="4" t="n">
        <v>-657043000</v>
      </c>
      <c r="C30" s="4" t="n">
        <v>110299000000</v>
      </c>
    </row>
    <row r="31" customFormat="false" ht="14.25" hidden="false" customHeight="false" outlineLevel="0" collapsed="false">
      <c r="A31" s="0" t="n">
        <v>-0.004</v>
      </c>
      <c r="B31" s="4" t="n">
        <v>-757707000</v>
      </c>
      <c r="C31" s="4" t="n">
        <v>93285800000</v>
      </c>
    </row>
    <row r="32" customFormat="false" ht="14.25" hidden="false" customHeight="false" outlineLevel="0" collapsed="false">
      <c r="A32" s="0" t="n">
        <v>-0.005</v>
      </c>
      <c r="B32" s="4" t="n">
        <v>-846966000</v>
      </c>
      <c r="C32" s="4" t="n">
        <v>86336800000</v>
      </c>
    </row>
    <row r="33" customFormat="false" ht="14.25" hidden="false" customHeight="false" outlineLevel="0" collapsed="false">
      <c r="A33" s="0" t="n">
        <v>-0.006</v>
      </c>
      <c r="B33" s="4" t="n">
        <v>-931788000</v>
      </c>
      <c r="C33" s="4" t="n">
        <v>83726400000</v>
      </c>
    </row>
    <row r="34" customFormat="false" ht="14.25" hidden="false" customHeight="false" outlineLevel="0" collapsed="false">
      <c r="A34" s="0" t="n">
        <v>-0.007</v>
      </c>
      <c r="B34" s="4" t="n">
        <v>-1014940000</v>
      </c>
      <c r="C34" s="4" t="n">
        <v>82727100000</v>
      </c>
    </row>
    <row r="35" customFormat="false" ht="14.25" hidden="false" customHeight="false" outlineLevel="0" collapsed="false">
      <c r="A35" s="0" t="n">
        <v>-0.008</v>
      </c>
      <c r="B35" s="4" t="n">
        <v>-1097440000</v>
      </c>
      <c r="C35" s="4" t="n">
        <v>82324700000</v>
      </c>
    </row>
    <row r="36" customFormat="false" ht="14.25" hidden="false" customHeight="false" outlineLevel="0" collapsed="false">
      <c r="A36" s="0" t="n">
        <v>-0.009</v>
      </c>
      <c r="B36" s="4" t="n">
        <v>-1179660000</v>
      </c>
      <c r="C36" s="4" t="n">
        <v>82153300000</v>
      </c>
    </row>
    <row r="37" customFormat="false" ht="14.25" hidden="false" customHeight="false" outlineLevel="0" collapsed="false">
      <c r="A37" s="0" t="n">
        <v>-0.01</v>
      </c>
      <c r="B37" s="4" t="n">
        <v>-1261770000</v>
      </c>
      <c r="C37" s="4" t="n">
        <v>82076300000</v>
      </c>
    </row>
  </sheetData>
  <printOptions headings="false" gridLines="false" gridLinesSet="true" horizontalCentered="false" verticalCentered="false"/>
  <pageMargins left="0" right="0" top="0.39375" bottom="0.39375" header="0" footer="0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7" activeCellId="0" sqref="A7"/>
    </sheetView>
  </sheetViews>
  <sheetFormatPr defaultColWidth="10.609375" defaultRowHeight="14.25" zeroHeight="false" outlineLevelRow="0" outlineLevelCol="0"/>
  <sheetData>
    <row r="1" customFormat="false" ht="14.25" hidden="false" customHeight="false" outlineLevel="0" collapsed="false">
      <c r="B1" s="7" t="s">
        <v>18</v>
      </c>
      <c r="C1" s="7"/>
      <c r="D1" s="7"/>
    </row>
    <row r="2" customFormat="false" ht="14.25" hidden="false" customHeight="false" outlineLevel="0" collapsed="false">
      <c r="B2" s="1" t="s">
        <v>20</v>
      </c>
      <c r="C2" s="1" t="s">
        <v>21</v>
      </c>
      <c r="D2" s="1" t="s">
        <v>22</v>
      </c>
    </row>
    <row r="3" customFormat="false" ht="14.25" hidden="false" customHeight="false" outlineLevel="0" collapsed="false">
      <c r="A3" s="1" t="s">
        <v>23</v>
      </c>
      <c r="B3" s="3" t="n">
        <v>0</v>
      </c>
      <c r="C3" s="3" t="n">
        <v>0</v>
      </c>
      <c r="D3" s="3" t="n">
        <v>0</v>
      </c>
    </row>
    <row r="4" customFormat="false" ht="14.25" hidden="false" customHeight="false" outlineLevel="0" collapsed="false">
      <c r="A4" s="1" t="s">
        <v>24</v>
      </c>
      <c r="B4" s="3" t="n">
        <v>164056952076.677</v>
      </c>
      <c r="C4" s="3" t="n">
        <v>38044206663.5382</v>
      </c>
      <c r="D4" s="3" t="n">
        <v>48251000000</v>
      </c>
    </row>
    <row r="5" customFormat="false" ht="14.25" hidden="false" customHeight="false" outlineLevel="0" collapsed="false">
      <c r="A5" s="1" t="s">
        <v>25</v>
      </c>
      <c r="B5" s="3" t="n">
        <v>1996538658146.96</v>
      </c>
      <c r="C5" s="3" t="n">
        <v>3765574509619.9</v>
      </c>
      <c r="D5" s="3" t="n">
        <v>3622300000000</v>
      </c>
    </row>
    <row r="6" customFormat="false" ht="14.25" hidden="false" customHeight="false" outlineLevel="0" collapsed="false">
      <c r="A6" s="1" t="s">
        <v>26</v>
      </c>
      <c r="B6" s="3" t="n">
        <v>-7902193823216.19</v>
      </c>
      <c r="C6" s="3" t="n">
        <v>-2262870239324260</v>
      </c>
      <c r="D6" s="3" t="n">
        <v>-2080250000000000</v>
      </c>
    </row>
    <row r="7" customFormat="false" ht="14.25" hidden="false" customHeight="false" outlineLevel="0" collapsed="false">
      <c r="A7" s="1" t="s">
        <v>27</v>
      </c>
      <c r="B7" s="3" t="n">
        <v>-97431580404685800</v>
      </c>
      <c r="C7" s="3" t="n">
        <v>2.01863999061473E+017</v>
      </c>
      <c r="D7" s="3" t="n">
        <v>1.77623E+017</v>
      </c>
    </row>
    <row r="8" customFormat="false" ht="14.25" hidden="false" customHeight="false" outlineLevel="0" collapsed="false">
      <c r="A8" s="1" t="s">
        <v>28</v>
      </c>
      <c r="B8" s="3" t="n">
        <v>0</v>
      </c>
      <c r="C8" s="3" t="n">
        <v>0</v>
      </c>
      <c r="D8" s="3" t="n">
        <v>0</v>
      </c>
    </row>
    <row r="9" customFormat="false" ht="14.25" hidden="false" customHeight="false" outlineLevel="0" collapsed="false">
      <c r="A9" s="1" t="s">
        <v>29</v>
      </c>
      <c r="B9" s="3" t="n">
        <v>0</v>
      </c>
      <c r="C9" s="3" t="n">
        <v>0</v>
      </c>
      <c r="D9" s="3" t="n">
        <v>0</v>
      </c>
    </row>
    <row r="10" customFormat="false" ht="14.25" hidden="false" customHeight="false" outlineLevel="0" collapsed="false">
      <c r="A10" s="1" t="s">
        <v>30</v>
      </c>
      <c r="B10" s="3" t="n">
        <v>188220379126.731</v>
      </c>
      <c r="C10" s="3" t="n">
        <v>59388918442.046</v>
      </c>
      <c r="D10" s="3" t="n">
        <v>69823000000</v>
      </c>
    </row>
    <row r="11" customFormat="false" ht="14.25" hidden="false" customHeight="false" outlineLevel="0" collapsed="false">
      <c r="A11" s="1" t="s">
        <v>77</v>
      </c>
      <c r="B11" s="3" t="n">
        <f aca="false">0.002*B10</f>
        <v>376440758.253462</v>
      </c>
      <c r="C11" s="3" t="n">
        <f aca="false">0.002*C10</f>
        <v>118777836.884092</v>
      </c>
      <c r="D11" s="3" t="n">
        <f aca="false">0.002*D10</f>
        <v>139646000</v>
      </c>
    </row>
    <row r="12" customFormat="false" ht="14.25" hidden="false" customHeight="false" outlineLevel="0" collapsed="false">
      <c r="A12" s="1" t="s">
        <v>78</v>
      </c>
      <c r="B12" s="3" t="n">
        <f aca="false">20000000</f>
        <v>20000000</v>
      </c>
      <c r="C12" s="3" t="n">
        <f aca="false">20000000</f>
        <v>20000000</v>
      </c>
      <c r="D12" s="3" t="n">
        <f aca="false">20000000</f>
        <v>20000000</v>
      </c>
    </row>
    <row r="13" customFormat="false" ht="14.25" hidden="false" customHeight="false" outlineLevel="0" collapsed="false">
      <c r="A13" s="1" t="s">
        <v>79</v>
      </c>
      <c r="B13" s="0" t="n">
        <f aca="false">-B12/B10</f>
        <v>-0.000106258419480357</v>
      </c>
      <c r="C13" s="0" t="n">
        <f aca="false">-C12/C10</f>
        <v>-0.000336763162634739</v>
      </c>
      <c r="D13" s="0" t="n">
        <f aca="false">-D12/D10</f>
        <v>-0.000286438566088538</v>
      </c>
    </row>
    <row r="15" customFormat="false" ht="14.25" hidden="false" customHeight="false" outlineLevel="0" collapsed="false">
      <c r="A15" s="1" t="s">
        <v>4</v>
      </c>
      <c r="B15" s="1" t="s">
        <v>50</v>
      </c>
      <c r="C15" s="1" t="s">
        <v>80</v>
      </c>
    </row>
    <row r="16" customFormat="false" ht="14.25" hidden="false" customHeight="false" outlineLevel="0" collapsed="false">
      <c r="A16" s="1" t="n">
        <v>0</v>
      </c>
      <c r="B16" s="1" t="n">
        <f aca="false">$C$3+$C$4*A16+$C$5*A16^2+$C$6*A16^3++$C$7*A16^4</f>
        <v>0</v>
      </c>
      <c r="C16" s="1" t="n">
        <f aca="false">$C$4+2*$C$5*A16^1+3*$C$6*A16^2+4*$C$7*A16^3</f>
        <v>38044206663.5382</v>
      </c>
    </row>
    <row r="17" customFormat="false" ht="14.25" hidden="false" customHeight="false" outlineLevel="0" collapsed="false">
      <c r="A17" s="1" t="n">
        <v>0.0005</v>
      </c>
      <c r="B17" s="1" t="n">
        <f aca="false">$C$3+$C$4*A17+$C$5*A17^2+$C$6*A17^3++$C$7*A17^4</f>
        <v>19693254.6791999</v>
      </c>
      <c r="C17" s="1" t="n">
        <f aca="false">$C$4+2*$C$5*A17^1+3*$C$6*A17^2+4*$C$7*A17^3</f>
        <v>40213560493.1956</v>
      </c>
    </row>
    <row r="18" customFormat="false" ht="14.25" hidden="false" customHeight="false" outlineLevel="0" collapsed="false">
      <c r="A18" s="1" t="n">
        <v>0.001</v>
      </c>
      <c r="B18" s="1" t="n">
        <f aca="false">$C$3+$C$4*A18+$C$5*A18^2+$C$6*A18^3++$C$7*A18^4</f>
        <v>39748774.9328953</v>
      </c>
      <c r="C18" s="1" t="n">
        <f aca="false">$C$4+2*$C$5*A18^1+3*$C$6*A18^2+4*$C$7*A18^3</f>
        <v>39594200961.0511</v>
      </c>
    </row>
    <row r="19" customFormat="false" ht="14.25" hidden="false" customHeight="false" outlineLevel="0" collapsed="false">
      <c r="A19" s="1" t="n">
        <v>0.0015</v>
      </c>
      <c r="B19" s="1" t="n">
        <f aca="false">$C$3+$C$4*A19+$C$5*A19^2+$C$6*A19^3++$C$7*A19^4</f>
        <v>58923602.0794814</v>
      </c>
      <c r="C19" s="1" t="n">
        <f aca="false">$C$4+2*$C$5*A19^1+3*$C$6*A19^2+4*$C$7*A19^3</f>
        <v>36791720064.289</v>
      </c>
    </row>
    <row r="20" customFormat="false" ht="14.25" hidden="false" customHeight="false" outlineLevel="0" collapsed="false">
      <c r="A20" s="1" t="n">
        <v>0.002</v>
      </c>
      <c r="B20" s="1" t="n">
        <f aca="false">$C$3+$C$4*A20+$C$5*A20^2+$C$6*A20^3++$C$7*A20^4</f>
        <v>76277573.4359455</v>
      </c>
      <c r="C20" s="1" t="n">
        <f aca="false">$C$4+2*$C$5*A20^1+3*$C$6*A20^2+4*$C$7*A20^3</f>
        <v>32411709800.0938</v>
      </c>
    </row>
    <row r="21" customFormat="false" ht="14.25" hidden="false" customHeight="false" outlineLevel="0" collapsed="false">
      <c r="A21" s="1" t="n">
        <v>0.0025</v>
      </c>
      <c r="B21" s="1" t="n">
        <f aca="false">$C$3+$C$4*A21+$C$5*A21^2+$C$6*A21^3++$C$7*A21^4</f>
        <v>91173322.3178671</v>
      </c>
      <c r="C21" s="1" t="n">
        <f aca="false">$C$4+2*$C$5*A21^1+3*$C$6*A21^2+4*$C$7*A21^3</f>
        <v>27059762165.6499</v>
      </c>
    </row>
    <row r="22" customFormat="false" ht="14.25" hidden="false" customHeight="false" outlineLevel="0" collapsed="false">
      <c r="A22" s="1" t="n">
        <v>0.003</v>
      </c>
      <c r="B22" s="1" t="n">
        <f aca="false">$C$3+$C$4*A22+$C$5*A22^2+$C$6*A22^3++$C$7*A22^4</f>
        <v>103276278.039418</v>
      </c>
      <c r="C22" s="1" t="n">
        <f aca="false">$C$4+2*$C$5*A22^1+3*$C$6*A22^2+4*$C$7*A22^3</f>
        <v>21341469158.1416</v>
      </c>
    </row>
    <row r="23" customFormat="false" ht="14.25" hidden="false" customHeight="false" outlineLevel="0" collapsed="false">
      <c r="E23" s="1" t="s">
        <v>81</v>
      </c>
      <c r="F23" s="1" t="s">
        <v>62</v>
      </c>
      <c r="G23" s="1" t="s">
        <v>3</v>
      </c>
      <c r="H23" s="1" t="s">
        <v>41</v>
      </c>
    </row>
    <row r="24" customFormat="false" ht="14.25" hidden="false" customHeight="false" outlineLevel="0" collapsed="false">
      <c r="E24" s="1" t="n">
        <f aca="false">(B22+C12-A22*C10+C13*C11)/(C11-C10)</f>
        <v>0.000926781626057692</v>
      </c>
      <c r="F24" s="1" t="n">
        <f aca="false">(E24-C13)*C11-C12</f>
        <v>-19849918.8831929</v>
      </c>
      <c r="G24" s="1" t="n">
        <f aca="false">C11/C10</f>
        <v>0.002</v>
      </c>
      <c r="H24" s="1" t="n">
        <v>10</v>
      </c>
    </row>
    <row r="26" customFormat="false" ht="14.25" hidden="false" customHeight="false" outlineLevel="0" collapsed="false">
      <c r="A26" s="1" t="s">
        <v>4</v>
      </c>
      <c r="B26" s="1" t="s">
        <v>82</v>
      </c>
      <c r="C26" s="1" t="s">
        <v>83</v>
      </c>
      <c r="D26" s="1" t="s">
        <v>50</v>
      </c>
    </row>
    <row r="27" customFormat="false" ht="14.25" hidden="false" customHeight="false" outlineLevel="0" collapsed="false">
      <c r="A27" s="1" t="n">
        <v>0.003</v>
      </c>
      <c r="B27" s="0" t="n">
        <f aca="false">(A27-$A$22)/($E$24-$A$22)</f>
        <v>-0</v>
      </c>
      <c r="C27" s="0" t="n">
        <f aca="false">$G$24*B27+((1-$G$24)*B27)/((1+B27^$H$24)^(1/$H$24))</f>
        <v>-0</v>
      </c>
      <c r="D27" s="0" t="n">
        <f aca="false">C27*($F$24-$B$22)+$B$22</f>
        <v>103276278.039418</v>
      </c>
    </row>
    <row r="28" customFormat="false" ht="14.25" hidden="false" customHeight="false" outlineLevel="0" collapsed="false">
      <c r="A28" s="1" t="n">
        <v>0.0028</v>
      </c>
      <c r="B28" s="0" t="n">
        <f aca="false">(A28-$A$22)/($E$24-$A$22)</f>
        <v>0.0964683713562176</v>
      </c>
      <c r="C28" s="0" t="n">
        <f aca="false">$G$24*B28+((1-$G$24)*B28)/((1+B28^$H$24)^(1/$H$24))</f>
        <v>0.0964683713555456</v>
      </c>
      <c r="D28" s="0" t="n">
        <f aca="false">C28*($F$24-$B$22)+$B$22</f>
        <v>91398494.3510915</v>
      </c>
    </row>
    <row r="29" customFormat="false" ht="14.25" hidden="false" customHeight="false" outlineLevel="0" collapsed="false">
      <c r="A29" s="1" t="n">
        <v>0.0026</v>
      </c>
      <c r="B29" s="0" t="n">
        <f aca="false">(A29-$A$22)/($E$24-$A$22)</f>
        <v>0.192936742712435</v>
      </c>
      <c r="C29" s="0" t="n">
        <f aca="false">$G$24*B29+((1-$G$24)*B29)/((1+B29^$H$24)^(1/$H$24))</f>
        <v>0.192936741336193</v>
      </c>
      <c r="D29" s="0" t="n">
        <f aca="false">C29*($F$24-$B$22)+$B$22</f>
        <v>79520710.832051</v>
      </c>
    </row>
    <row r="30" customFormat="false" ht="14.25" hidden="false" customHeight="false" outlineLevel="0" collapsed="false">
      <c r="A30" s="1" t="n">
        <v>0.0024</v>
      </c>
      <c r="B30" s="0" t="n">
        <f aca="false">(A30-$A$22)/($E$24-$A$22)</f>
        <v>0.289405114068653</v>
      </c>
      <c r="C30" s="0" t="n">
        <f aca="false">$G$24*B30+((1-$G$24)*B30)/((1+B30^$H$24)^(1/$H$24))</f>
        <v>0.289404995027323</v>
      </c>
      <c r="D30" s="0" t="n">
        <f aca="false">C30*($F$24-$B$22)+$B$22</f>
        <v>67642941.6312966</v>
      </c>
    </row>
    <row r="31" customFormat="false" ht="14.25" hidden="false" customHeight="false" outlineLevel="0" collapsed="false">
      <c r="A31" s="1" t="n">
        <v>0.0022</v>
      </c>
      <c r="B31" s="0" t="n">
        <f aca="false">(A31-$A$22)/($E$24-$A$22)</f>
        <v>0.38587348542487</v>
      </c>
      <c r="C31" s="0" t="n">
        <f aca="false">$G$24*B31+((1-$G$24)*B31)/((1+B31^$H$24)^(1/$H$24))</f>
        <v>0.385870666994071</v>
      </c>
      <c r="D31" s="0" t="n">
        <f aca="false">C31*($F$24-$B$22)+$B$22</f>
        <v>55765490.3084468</v>
      </c>
    </row>
    <row r="32" customFormat="false" ht="14.25" hidden="false" customHeight="false" outlineLevel="0" collapsed="false">
      <c r="A32" s="1" t="n">
        <v>0.002</v>
      </c>
      <c r="B32" s="0" t="n">
        <f aca="false">(A32-$A$22)/($E$24-$A$22)</f>
        <v>0.482341856781088</v>
      </c>
      <c r="C32" s="0" t="n">
        <f aca="false">$G$24*B32+((1-$G$24)*B32)/((1+B32^$H$24)^(1/$H$24))</f>
        <v>0.482309056902794</v>
      </c>
      <c r="D32" s="0" t="n">
        <f aca="false">C32*($F$24-$B$22)+$B$22</f>
        <v>43891398.1216458</v>
      </c>
    </row>
    <row r="33" customFormat="false" ht="14.25" hidden="false" customHeight="false" outlineLevel="0" collapsed="false">
      <c r="A33" s="1" t="n">
        <v>0.0018</v>
      </c>
      <c r="B33" s="0" t="n">
        <f aca="false">(A33-$A$22)/($E$24-$A$22)</f>
        <v>0.578810228137305</v>
      </c>
      <c r="C33" s="0" t="n">
        <f aca="false">$G$24*B33+((1-$G$24)*B33)/((1+B33^$H$24)^(1/$H$24))</f>
        <v>0.578566995192062</v>
      </c>
      <c r="D33" s="0" t="n">
        <f aca="false">C33*($F$24-$B$22)+$B$22</f>
        <v>32039524.2564769</v>
      </c>
    </row>
    <row r="34" customFormat="false" ht="14.25" hidden="false" customHeight="false" outlineLevel="0" collapsed="false">
      <c r="A34" s="1" t="n">
        <v>0.0016</v>
      </c>
      <c r="B34" s="0" t="n">
        <f aca="false">(A34-$A$22)/($E$24-$A$22)</f>
        <v>0.675278599493523</v>
      </c>
      <c r="C34" s="0" t="n">
        <f aca="false">$G$24*B34+((1-$G$24)*B34)/((1+B34^$H$24)^(1/$H$24))</f>
        <v>0.673964062332043</v>
      </c>
      <c r="D34" s="0" t="n">
        <f aca="false">C34*($F$24-$B$22)+$B$22</f>
        <v>20293646.18196</v>
      </c>
    </row>
    <row r="35" customFormat="false" ht="14.25" hidden="false" customHeight="false" outlineLevel="0" collapsed="false">
      <c r="A35" s="1" t="n">
        <v>0.0014</v>
      </c>
      <c r="B35" s="0" t="n">
        <f aca="false">(A35-$A$22)/($E$24-$A$22)</f>
        <v>0.77174697084974</v>
      </c>
      <c r="C35" s="0" t="n">
        <f aca="false">$G$24*B35+((1-$G$24)*B35)/((1+B35^$H$24)^(1/$H$24))</f>
        <v>0.766200732169148</v>
      </c>
      <c r="D35" s="0" t="n">
        <f aca="false">C35*($F$24-$B$22)+$B$22</f>
        <v>8936895.80811083</v>
      </c>
    </row>
    <row r="36" customFormat="false" ht="14.25" hidden="false" customHeight="false" outlineLevel="0" collapsed="false">
      <c r="A36" s="1" t="n">
        <v>0.0012</v>
      </c>
      <c r="B36" s="0" t="n">
        <f aca="false">(A36-$A$22)/($E$24-$A$22)</f>
        <v>0.868215342205958</v>
      </c>
      <c r="C36" s="0" t="n">
        <f aca="false">$G$24*B36+((1-$G$24)*B36)/((1+B36^$H$24)^(1/$H$24))</f>
        <v>0.849545018997529</v>
      </c>
      <c r="D36" s="0" t="n">
        <f aca="false">C36*($F$24-$B$22)+$B$22</f>
        <v>-1324969.26429495</v>
      </c>
    </row>
    <row r="37" customFormat="false" ht="14.25" hidden="false" customHeight="false" outlineLevel="0" collapsed="false">
      <c r="A37" s="1" t="n">
        <v>0.001</v>
      </c>
      <c r="B37" s="0" t="n">
        <f aca="false">(A37-$A$22)/($E$24-$A$22)</f>
        <v>0.964683713562175</v>
      </c>
      <c r="C37" s="0" t="n">
        <f aca="false">$G$24*B37+((1-$G$24)*B37)/((1+B37^$H$24)^(1/$H$24))</f>
        <v>0.915036981284837</v>
      </c>
      <c r="D37" s="0" t="n">
        <f aca="false">C37*($F$24-$B$22)+$B$22</f>
        <v>-9388745.50973025</v>
      </c>
    </row>
    <row r="39" customFormat="false" ht="14.25" hidden="false" customHeight="false" outlineLevel="0" collapsed="false">
      <c r="E39" s="1" t="s">
        <v>81</v>
      </c>
      <c r="F39" s="1" t="s">
        <v>62</v>
      </c>
      <c r="G39" s="1" t="s">
        <v>3</v>
      </c>
      <c r="H39" s="1" t="s">
        <v>41</v>
      </c>
    </row>
    <row r="40" customFormat="false" ht="14.25" hidden="false" customHeight="false" outlineLevel="0" collapsed="false">
      <c r="E40" s="1" t="n">
        <f aca="false">(B22-D37-A22*C22+A37*C10)/(C10-C22)</f>
        <v>0.00283933710537779</v>
      </c>
      <c r="F40" s="1" t="n">
        <f aca="false">(E40-A37)*C10+D37</f>
        <v>99847495.8289804</v>
      </c>
      <c r="G40" s="1" t="n">
        <f aca="false">C22/C10</f>
        <v>0.359351032448376</v>
      </c>
      <c r="H40" s="1" t="n">
        <v>10</v>
      </c>
    </row>
    <row r="42" customFormat="false" ht="14.25" hidden="false" customHeight="false" outlineLevel="0" collapsed="false">
      <c r="A42" s="1" t="s">
        <v>4</v>
      </c>
      <c r="B42" s="1" t="s">
        <v>82</v>
      </c>
      <c r="C42" s="1" t="s">
        <v>83</v>
      </c>
      <c r="D42" s="1" t="s">
        <v>50</v>
      </c>
    </row>
    <row r="43" customFormat="false" ht="14.25" hidden="false" customHeight="false" outlineLevel="0" collapsed="false">
      <c r="A43" s="1" t="n">
        <v>0.001</v>
      </c>
      <c r="B43" s="1" t="n">
        <f aca="false">(A43-$A$37)/($E$40-$A$37)</f>
        <v>0</v>
      </c>
      <c r="C43" s="0" t="n">
        <f aca="false">$G$40*B43+((1-$G$40)*B43)/((1+B43^$H$40)^(1/$H$40))</f>
        <v>0</v>
      </c>
      <c r="D43" s="0" t="n">
        <f aca="false">C43*($F$40-$D$37)+$D$37</f>
        <v>-9388745.50973025</v>
      </c>
    </row>
    <row r="44" customFormat="false" ht="14.25" hidden="false" customHeight="false" outlineLevel="0" collapsed="false">
      <c r="A44" s="1" t="n">
        <v>0.0013</v>
      </c>
      <c r="B44" s="1" t="n">
        <f aca="false">(A44-$A$37)/($E$40-$A$37)</f>
        <v>0.163102238911437</v>
      </c>
      <c r="C44" s="0" t="n">
        <f aca="false">$G$40*B44+((1-$G$40)*B44)/((1+B44^$H$40)^(1/$H$40))</f>
        <v>0.163102238772224</v>
      </c>
      <c r="D44" s="0" t="n">
        <f aca="false">C44*($F$40-$D$37)+$D$37</f>
        <v>8427930.00767645</v>
      </c>
    </row>
    <row r="45" customFormat="false" ht="14.25" hidden="false" customHeight="false" outlineLevel="0" collapsed="false">
      <c r="A45" s="1" t="n">
        <v>0.0016</v>
      </c>
      <c r="B45" s="1" t="n">
        <f aca="false">(A45-$A$37)/($E$40-$A$37)</f>
        <v>0.326204477822874</v>
      </c>
      <c r="C45" s="0" t="n">
        <f aca="false">$G$40*B45+((1-$G$40)*B45)/((1+B45^$H$40)^(1/$H$40))</f>
        <v>0.326204192717126</v>
      </c>
      <c r="D45" s="0" t="n">
        <f aca="false">C45*($F$40-$D$37)+$D$37</f>
        <v>26244574.411617</v>
      </c>
    </row>
    <row r="46" customFormat="false" ht="14.25" hidden="false" customHeight="false" outlineLevel="0" collapsed="false">
      <c r="A46" s="1" t="n">
        <v>0.0019</v>
      </c>
      <c r="B46" s="1" t="n">
        <f aca="false">(A46-$A$37)/($E$40-$A$37)</f>
        <v>0.489306716734312</v>
      </c>
      <c r="C46" s="0" t="n">
        <f aca="false">$G$40*B46+((1-$G$40)*B46)/((1+B46^$H$40)^(1/$H$40))</f>
        <v>0.489282066262806</v>
      </c>
      <c r="D46" s="0" t="n">
        <f aca="false">C46*($F$40-$D$37)+$D$37</f>
        <v>44058588.3632567</v>
      </c>
    </row>
    <row r="47" customFormat="false" ht="14.25" hidden="false" customHeight="false" outlineLevel="0" collapsed="false">
      <c r="A47" s="1" t="n">
        <v>0.0022</v>
      </c>
      <c r="B47" s="1" t="n">
        <f aca="false">(A47-$A$37)/($E$40-$A$37)</f>
        <v>0.652408955645749</v>
      </c>
      <c r="C47" s="0" t="n">
        <f aca="false">$G$40*B47+((1-$G$40)*B47)/((1+B47^$H$40)^(1/$H$40))</f>
        <v>0.651829497719992</v>
      </c>
      <c r="D47" s="0" t="n">
        <f aca="false">C47*($F$40-$D$37)+$D$37</f>
        <v>61814658.8149014</v>
      </c>
    </row>
    <row r="48" customFormat="false" ht="14.25" hidden="false" customHeight="false" outlineLevel="0" collapsed="false">
      <c r="A48" s="1" t="n">
        <v>0.0025</v>
      </c>
      <c r="B48" s="1" t="n">
        <f aca="false">(A48-$A$37)/($E$40-$A$37)</f>
        <v>0.815511194557186</v>
      </c>
      <c r="C48" s="0" t="n">
        <f aca="false">$G$40*B48+((1-$G$40)*B48)/((1+B48^$H$40)^(1/$H$40))</f>
        <v>0.809159849880411</v>
      </c>
      <c r="D48" s="0" t="n">
        <f aca="false">C48*($F$40-$D$37)+$D$37</f>
        <v>79000835.1334011</v>
      </c>
    </row>
    <row r="49" customFormat="false" ht="14.25" hidden="false" customHeight="false" outlineLevel="0" collapsed="false">
      <c r="A49" s="1" t="n">
        <v>0.0028</v>
      </c>
      <c r="B49" s="1" t="n">
        <f aca="false">(A49-$A$37)/($E$40-$A$37)</f>
        <v>0.978613433468623</v>
      </c>
      <c r="C49" s="0" t="n">
        <f aca="false">$G$40*B49+((1-$G$40)*B49)/((1+B49^$H$40)^(1/$H$40))</f>
        <v>0.942641270847451</v>
      </c>
      <c r="D49" s="0" t="n">
        <f aca="false">C49*($F$40-$D$37)+$D$37</f>
        <v>93581843.8483908</v>
      </c>
    </row>
    <row r="50" customFormat="false" ht="14.25" hidden="false" customHeight="false" outlineLevel="0" collapsed="false">
      <c r="A50" s="1" t="n">
        <v>0.0031</v>
      </c>
      <c r="B50" s="1" t="n">
        <f aca="false">(A50-$A$37)/($E$40-$A$37)</f>
        <v>1.14171567238006</v>
      </c>
      <c r="C50" s="0" t="n">
        <f aca="false">$G$40*B50+((1-$G$40)*B50)/((1+B50^$H$40)^(1/$H$40))</f>
        <v>1.03600594243677</v>
      </c>
      <c r="D50" s="0" t="n">
        <f aca="false">C50*($F$40-$D$37)+$D$37</f>
        <v>103780649.646632</v>
      </c>
    </row>
    <row r="51" customFormat="false" ht="14.25" hidden="false" customHeight="false" outlineLevel="0" collapsed="false">
      <c r="A51" s="1" t="n">
        <v>0.0034</v>
      </c>
      <c r="B51" s="1" t="n">
        <f aca="false">(A51-$A$37)/($E$40-$A$37)</f>
        <v>1.3048179112915</v>
      </c>
      <c r="C51" s="0" t="n">
        <f aca="false">$G$40*B51+((1-$G$40)*B51)/((1+B51^$H$40)^(1/$H$40))</f>
        <v>1.10522243741979</v>
      </c>
      <c r="D51" s="0" t="n">
        <f aca="false">C51*($F$40-$D$37)+$D$37</f>
        <v>111341599.397216</v>
      </c>
    </row>
    <row r="52" customFormat="false" ht="14.25" hidden="false" customHeight="false" outlineLevel="0" collapsed="false">
      <c r="A52" s="1" t="n">
        <v>0.0037</v>
      </c>
      <c r="B52" s="1" t="n">
        <f aca="false">(A52-$A$37)/($E$40-$A$37)</f>
        <v>1.46792015020294</v>
      </c>
      <c r="C52" s="0" t="n">
        <f aca="false">$G$40*B52+((1-$G$40)*B52)/((1+B52^$H$40)^(1/$H$40))</f>
        <v>1.16678457495343</v>
      </c>
      <c r="D52" s="0" t="n">
        <f aca="false">C52*($F$40-$D$37)+$D$37</f>
        <v>118066415.910168</v>
      </c>
    </row>
    <row r="53" customFormat="false" ht="14.25" hidden="false" customHeight="false" outlineLevel="0" collapsed="false">
      <c r="A53" s="1" t="n">
        <v>0.004</v>
      </c>
      <c r="B53" s="1" t="n">
        <f aca="false">(A53-$A$37)/($E$40-$A$37)</f>
        <v>1.63102238911437</v>
      </c>
      <c r="C53" s="0" t="n">
        <f aca="false">$G$40*B53+((1-$G$40)*B53)/((1+B53^$H$40)^(1/$H$40))</f>
        <v>1.22627965927231</v>
      </c>
      <c r="D53" s="0" t="n">
        <f aca="false">C53*($F$40-$D$37)+$D$37</f>
        <v>124565435.299292</v>
      </c>
    </row>
  </sheetData>
  <mergeCells count="1">
    <mergeCell ref="B1:D1"/>
  </mergeCells>
  <printOptions headings="false" gridLines="false" gridLinesSet="true" horizontalCentered="false" verticalCentered="false"/>
  <pageMargins left="0" right="0" top="0.39375" bottom="0.39375" header="0" footer="0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0.609375" defaultRowHeight="14.25" zeroHeight="false" outlineLevelRow="0" outlineLevelCol="0"/>
  <sheetData>
    <row r="1" customFormat="false" ht="14.25" hidden="false" customHeight="false" outlineLevel="0" collapsed="false">
      <c r="A1" s="1" t="s">
        <v>84</v>
      </c>
      <c r="B1" s="1" t="s">
        <v>50</v>
      </c>
      <c r="C1" s="1" t="s">
        <v>61</v>
      </c>
      <c r="D1" s="1" t="s">
        <v>32</v>
      </c>
      <c r="E1" s="1" t="s">
        <v>33</v>
      </c>
      <c r="F1" s="1" t="s">
        <v>85</v>
      </c>
      <c r="G1" s="1" t="s">
        <v>86</v>
      </c>
    </row>
    <row r="2" customFormat="false" ht="14.25" hidden="false" customHeight="false" outlineLevel="0" collapsed="false">
      <c r="A2" s="1" t="n">
        <v>0</v>
      </c>
      <c r="B2" s="9" t="n">
        <v>121800000</v>
      </c>
      <c r="C2" s="1" t="n">
        <v>20</v>
      </c>
      <c r="D2" s="0" t="n">
        <v>0</v>
      </c>
      <c r="E2" s="0" t="n">
        <v>0</v>
      </c>
    </row>
    <row r="3" customFormat="false" ht="14.25" hidden="false" customHeight="false" outlineLevel="0" collapsed="false">
      <c r="A3" s="0" t="n">
        <v>100</v>
      </c>
      <c r="B3" s="9" t="n">
        <v>121800000</v>
      </c>
      <c r="C3" s="1" t="n">
        <v>20</v>
      </c>
      <c r="D3" s="0" t="s">
        <v>87</v>
      </c>
      <c r="E3" s="0" t="s">
        <v>88</v>
      </c>
    </row>
    <row r="4" customFormat="false" ht="14.25" hidden="false" customHeight="false" outlineLevel="0" collapsed="false">
      <c r="A4" s="0" t="n">
        <v>500</v>
      </c>
      <c r="B4" s="9" t="n">
        <v>121800000</v>
      </c>
      <c r="C4" s="1" t="n">
        <v>20</v>
      </c>
      <c r="D4" s="0" t="s">
        <v>89</v>
      </c>
      <c r="E4" s="0" t="s">
        <v>90</v>
      </c>
    </row>
    <row r="5" customFormat="false" ht="14.25" hidden="false" customHeight="false" outlineLevel="0" collapsed="false">
      <c r="A5" s="0" t="n">
        <v>1000</v>
      </c>
      <c r="B5" s="9" t="n">
        <v>121800000</v>
      </c>
      <c r="C5" s="1" t="n">
        <v>20</v>
      </c>
      <c r="D5" s="0" t="s">
        <v>91</v>
      </c>
      <c r="E5" s="0" t="s">
        <v>92</v>
      </c>
    </row>
    <row r="6" customFormat="false" ht="14.25" hidden="false" customHeight="false" outlineLevel="0" collapsed="false">
      <c r="A6" s="0" t="n">
        <v>2000</v>
      </c>
      <c r="B6" s="9" t="n">
        <v>121800000</v>
      </c>
      <c r="C6" s="1" t="n">
        <v>20</v>
      </c>
      <c r="D6" s="0" t="s">
        <v>93</v>
      </c>
      <c r="E6" s="0" t="s">
        <v>94</v>
      </c>
    </row>
    <row r="7" customFormat="false" ht="14.25" hidden="false" customHeight="false" outlineLevel="0" collapsed="false">
      <c r="A7" s="0" t="n">
        <v>3000</v>
      </c>
      <c r="B7" s="9" t="n">
        <v>121800000</v>
      </c>
      <c r="C7" s="1" t="n">
        <v>20</v>
      </c>
      <c r="D7" s="0" t="s">
        <v>95</v>
      </c>
      <c r="E7" s="0" t="s">
        <v>96</v>
      </c>
    </row>
    <row r="8" customFormat="false" ht="14.25" hidden="false" customHeight="false" outlineLevel="0" collapsed="false">
      <c r="A8" s="0" t="n">
        <v>4000</v>
      </c>
      <c r="B8" s="9" t="n">
        <v>121800000</v>
      </c>
      <c r="C8" s="1" t="n">
        <v>20</v>
      </c>
      <c r="D8" s="0" t="s">
        <v>97</v>
      </c>
      <c r="E8" s="0" t="s">
        <v>98</v>
      </c>
    </row>
    <row r="9" customFormat="false" ht="14.25" hidden="false" customHeight="false" outlineLevel="0" collapsed="false">
      <c r="A9" s="0" t="n">
        <v>5000</v>
      </c>
      <c r="B9" s="9" t="n">
        <v>121800000</v>
      </c>
      <c r="C9" s="1" t="n">
        <v>20</v>
      </c>
      <c r="D9" s="0" t="s">
        <v>99</v>
      </c>
      <c r="E9" s="0" t="s">
        <v>100</v>
      </c>
    </row>
    <row r="10" customFormat="false" ht="14.25" hidden="false" customHeight="false" outlineLevel="0" collapsed="false">
      <c r="A10" s="0" t="n">
        <v>6000</v>
      </c>
      <c r="B10" s="9" t="n">
        <v>121800000</v>
      </c>
      <c r="C10" s="1" t="n">
        <v>20</v>
      </c>
      <c r="D10" s="0" t="s">
        <v>101</v>
      </c>
      <c r="E10" s="0" t="s">
        <v>102</v>
      </c>
    </row>
    <row r="11" customFormat="false" ht="14.25" hidden="false" customHeight="false" outlineLevel="0" collapsed="false">
      <c r="A11" s="0" t="n">
        <v>8760</v>
      </c>
      <c r="B11" s="9" t="n">
        <v>121800000</v>
      </c>
      <c r="C11" s="1" t="n">
        <v>20</v>
      </c>
      <c r="D11" s="0" t="s">
        <v>103</v>
      </c>
      <c r="E11" s="0" t="s">
        <v>104</v>
      </c>
    </row>
    <row r="12" customFormat="false" ht="14.25" hidden="false" customHeight="false" outlineLevel="0" collapsed="false">
      <c r="A12" s="0" t="n">
        <v>87600</v>
      </c>
      <c r="B12" s="9" t="n">
        <v>121800000</v>
      </c>
      <c r="C12" s="1" t="n">
        <v>20</v>
      </c>
      <c r="D12" s="0" t="s">
        <v>105</v>
      </c>
      <c r="E12" s="0" t="s">
        <v>106</v>
      </c>
    </row>
    <row r="14" customFormat="false" ht="14.25" hidden="false" customHeight="false" outlineLevel="0" collapsed="false">
      <c r="A14" s="0" t="s">
        <v>107</v>
      </c>
    </row>
    <row r="15" customFormat="false" ht="14.25" hidden="false" customHeight="false" outlineLevel="0" collapsed="false">
      <c r="A15" s="0" t="s">
        <v>108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B12" activeCellId="0" sqref="B12"/>
    </sheetView>
  </sheetViews>
  <sheetFormatPr defaultColWidth="10.609375" defaultRowHeight="14.25" zeroHeight="false" outlineLevelRow="0" outlineLevelCol="0"/>
  <cols>
    <col collapsed="false" customWidth="true" hidden="false" outlineLevel="0" max="2" min="2" style="0" width="11.87"/>
  </cols>
  <sheetData>
    <row r="1" customFormat="false" ht="14.25" hidden="false" customHeight="false" outlineLevel="0" collapsed="false">
      <c r="A1" s="0" t="s">
        <v>23</v>
      </c>
      <c r="B1" s="0" t="n">
        <v>0</v>
      </c>
    </row>
    <row r="2" customFormat="false" ht="14.25" hidden="false" customHeight="false" outlineLevel="0" collapsed="false">
      <c r="A2" s="0" t="s">
        <v>24</v>
      </c>
      <c r="B2" s="0" t="n">
        <v>38044206663.5382</v>
      </c>
    </row>
    <row r="3" customFormat="false" ht="14.25" hidden="false" customHeight="false" outlineLevel="0" collapsed="false">
      <c r="A3" s="0" t="s">
        <v>25</v>
      </c>
      <c r="B3" s="0" t="n">
        <v>3765574509619.9</v>
      </c>
    </row>
    <row r="4" customFormat="false" ht="14.25" hidden="false" customHeight="false" outlineLevel="0" collapsed="false">
      <c r="A4" s="0" t="s">
        <v>26</v>
      </c>
      <c r="B4" s="0" t="n">
        <v>-2262870239324260</v>
      </c>
    </row>
    <row r="5" customFormat="false" ht="14.25" hidden="false" customHeight="false" outlineLevel="0" collapsed="false">
      <c r="A5" s="0" t="s">
        <v>27</v>
      </c>
      <c r="B5" s="0" t="n">
        <v>2.01863999061473E+017</v>
      </c>
    </row>
    <row r="6" customFormat="false" ht="14.25" hidden="false" customHeight="false" outlineLevel="0" collapsed="false">
      <c r="A6" s="0" t="s">
        <v>28</v>
      </c>
      <c r="B6" s="0" t="n">
        <v>0</v>
      </c>
    </row>
    <row r="7" customFormat="false" ht="14.25" hidden="false" customHeight="false" outlineLevel="0" collapsed="false">
      <c r="A7" s="0" t="s">
        <v>29</v>
      </c>
      <c r="B7" s="0" t="n">
        <v>0</v>
      </c>
    </row>
    <row r="8" customFormat="false" ht="14.25" hidden="false" customHeight="false" outlineLevel="0" collapsed="false">
      <c r="A8" s="0" t="s">
        <v>30</v>
      </c>
      <c r="B8" s="0" t="n">
        <v>59388918442.046</v>
      </c>
    </row>
    <row r="9" customFormat="false" ht="14.25" hidden="false" customHeight="false" outlineLevel="0" collapsed="false">
      <c r="A9" s="0" t="s">
        <v>78</v>
      </c>
      <c r="B9" s="0" t="n">
        <f aca="false">10000000</f>
        <v>10000000</v>
      </c>
    </row>
    <row r="11" customFormat="false" ht="14.25" hidden="false" customHeight="false" outlineLevel="0" collapsed="false">
      <c r="A11" s="0" t="s">
        <v>109</v>
      </c>
      <c r="B11" s="0" t="n">
        <v>0.0035</v>
      </c>
    </row>
    <row r="12" customFormat="false" ht="14.25" hidden="false" customHeight="false" outlineLevel="0" collapsed="false">
      <c r="A12" s="0" t="s">
        <v>110</v>
      </c>
      <c r="B12" s="0" t="n">
        <f aca="false">-B9</f>
        <v>-10000000</v>
      </c>
    </row>
    <row r="13" customFormat="false" ht="13.8" hidden="false" customHeight="false" outlineLevel="0" collapsed="false">
      <c r="A13" s="0" t="s">
        <v>32</v>
      </c>
      <c r="B13" s="0" t="n">
        <v>0.004</v>
      </c>
    </row>
    <row r="14" customFormat="false" ht="14.25" hidden="false" customHeight="false" outlineLevel="0" collapsed="false">
      <c r="A14" s="0" t="s">
        <v>111</v>
      </c>
      <c r="B14" s="0" t="n">
        <f aca="false">$B$5*B13^4+$B$4*B13^3+$B$3*B13^2+$B$2*B13^1+$B$1</f>
        <v>119279507.251056</v>
      </c>
    </row>
    <row r="15" customFormat="false" ht="13.8" hidden="false" customHeight="false" outlineLevel="0" collapsed="false">
      <c r="A15" s="0" t="s">
        <v>112</v>
      </c>
      <c r="B15" s="16" t="n">
        <f aca="false">4*$B$5*B13^3+3*$B$4*B13^2+2*$B$3*B13^1+$B$2</f>
        <v>11228215012.6701</v>
      </c>
    </row>
    <row r="16" customFormat="false" ht="13.8" hidden="false" customHeight="false" outlineLevel="0" collapsed="false">
      <c r="B16" s="16"/>
    </row>
    <row r="17" customFormat="false" ht="13.8" hidden="false" customHeight="false" outlineLevel="0" collapsed="false">
      <c r="A17" s="0" t="s">
        <v>81</v>
      </c>
      <c r="B17" s="16" t="n">
        <f aca="false">(B14-B12-B13*B15+B11*B8)/(B8-B15)</f>
        <v>0.00606776564582507</v>
      </c>
    </row>
    <row r="18" customFormat="false" ht="13.8" hidden="false" customHeight="false" outlineLevel="0" collapsed="false">
      <c r="A18" s="0" t="s">
        <v>62</v>
      </c>
      <c r="B18" s="0" t="n">
        <f aca="false">(B17-B11)*B8+B12</f>
        <v>142496824.518192</v>
      </c>
    </row>
    <row r="19" customFormat="false" ht="13.8" hidden="false" customHeight="false" outlineLevel="0" collapsed="false"/>
    <row r="20" customFormat="false" ht="13.8" hidden="false" customHeight="false" outlineLevel="0" collapsed="false">
      <c r="A20" s="0" t="s">
        <v>41</v>
      </c>
      <c r="B20" s="0" t="n">
        <v>10</v>
      </c>
    </row>
    <row r="21" customFormat="false" ht="13.8" hidden="false" customHeight="false" outlineLevel="0" collapsed="false">
      <c r="A21" s="0" t="s">
        <v>83</v>
      </c>
      <c r="B21" s="0" t="n">
        <f aca="false">(B14-B12)/(B18-B12)</f>
        <v>0.847752126377118</v>
      </c>
    </row>
    <row r="22" customFormat="false" ht="13.8" hidden="false" customHeight="false" outlineLevel="0" collapsed="false">
      <c r="A22" s="0" t="s">
        <v>82</v>
      </c>
      <c r="B22" s="0" t="n">
        <f aca="false">(B13-B11)/(B17-B11)</f>
        <v>0.19472182004341</v>
      </c>
    </row>
    <row r="23" customFormat="false" ht="13.8" hidden="false" customHeight="false" outlineLevel="0" collapsed="false">
      <c r="A23" s="0" t="s">
        <v>3</v>
      </c>
      <c r="B23" s="0" t="n">
        <f aca="false">(B21*((1+B22^B20)^(1/B20))-B22)/(B22*(((1+B22^B20)^(1/B20))-1))</f>
        <v>427929801.462518</v>
      </c>
    </row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31" customFormat="false" ht="14.25" hidden="false" customHeight="false" outlineLevel="0" collapsed="false">
      <c r="A31" s="17" t="s">
        <v>113</v>
      </c>
      <c r="B31" s="17"/>
      <c r="C31" s="17"/>
      <c r="D31" s="17"/>
    </row>
    <row r="32" customFormat="false" ht="14.25" hidden="false" customHeight="false" outlineLevel="0" collapsed="false">
      <c r="A32" s="1" t="s">
        <v>4</v>
      </c>
      <c r="B32" s="1" t="s">
        <v>82</v>
      </c>
      <c r="C32" s="1" t="s">
        <v>83</v>
      </c>
      <c r="D32" s="1" t="s">
        <v>50</v>
      </c>
      <c r="F32" s="1" t="s">
        <v>4</v>
      </c>
      <c r="G32" s="1" t="s">
        <v>50</v>
      </c>
    </row>
    <row r="33" customFormat="false" ht="13.8" hidden="false" customHeight="false" outlineLevel="0" collapsed="false">
      <c r="A33" s="1" t="n">
        <v>0.001</v>
      </c>
      <c r="B33" s="1" t="n">
        <f aca="false">(A33-$B$11)/($B$17-$B$11)</f>
        <v>-0.973609100217052</v>
      </c>
      <c r="C33" s="1" t="n">
        <f aca="false">$B$23*B33+((1-$B$23)*B33)/((1+B33^$B$20)^(1/$B$20))</f>
        <v>-23018599.7336299</v>
      </c>
      <c r="D33" s="1" t="n">
        <f aca="false">C33*($B$18-$B$12)+$B$12</f>
        <v>-3510263374233880</v>
      </c>
      <c r="F33" s="1" t="n">
        <v>0</v>
      </c>
      <c r="G33" s="0" t="n">
        <f aca="false">$B$5*F33^4+$B$4*F33^3+$B$3*F33^2+$B$2*F33^1+$B$1</f>
        <v>0</v>
      </c>
    </row>
    <row r="34" customFormat="false" ht="13.8" hidden="false" customHeight="false" outlineLevel="0" collapsed="false">
      <c r="A34" s="1" t="n">
        <v>0.0012</v>
      </c>
      <c r="B34" s="1" t="n">
        <f aca="false">(A34-$B$11)/($B$17-$B$11)</f>
        <v>-0.895720372199688</v>
      </c>
      <c r="C34" s="1" t="n">
        <f aca="false">$B$23*B34+((1-$B$23)*B34)/((1+B34^$B$20)^(1/$B$20))</f>
        <v>-10845185.9517626</v>
      </c>
      <c r="D34" s="1" t="n">
        <f aca="false">C34*($B$18-$B$12)+$B$12</f>
        <v>-1653856428953110</v>
      </c>
      <c r="F34" s="1" t="n">
        <v>0.0005</v>
      </c>
      <c r="G34" s="0" t="n">
        <f aca="false">$B$5*F34^4+$B$4*F34^3+$B$3*F34^2+$B$2*F34^1+$B$1</f>
        <v>19693254.6791999</v>
      </c>
    </row>
    <row r="35" customFormat="false" ht="13.8" hidden="false" customHeight="false" outlineLevel="0" collapsed="false">
      <c r="A35" s="1" t="n">
        <v>0.0014</v>
      </c>
      <c r="B35" s="1" t="n">
        <f aca="false">(A35-$B$11)/($B$17-$B$11)</f>
        <v>-0.817831644182324</v>
      </c>
      <c r="C35" s="1" t="n">
        <f aca="false">$B$23*B35+((1-$B$23)*B35)/((1+B35^$B$20)^(1/$B$20))</f>
        <v>-4369039.96923029</v>
      </c>
      <c r="D35" s="1" t="n">
        <f aca="false">C35*($B$18-$B$12)+$B$12</f>
        <v>-666264731500681</v>
      </c>
      <c r="F35" s="1" t="n">
        <v>0.001</v>
      </c>
      <c r="G35" s="0" t="n">
        <f aca="false">$B$5*F35^4+$B$4*F35^3+$B$3*F35^2+$B$2*F35^1+$B$1</f>
        <v>39748774.9328954</v>
      </c>
    </row>
    <row r="36" customFormat="false" ht="13.8" hidden="false" customHeight="false" outlineLevel="0" collapsed="false">
      <c r="A36" s="1" t="n">
        <v>0.0016</v>
      </c>
      <c r="B36" s="1" t="n">
        <f aca="false">(A36-$B$11)/($B$17-$B$11)</f>
        <v>-0.739942916164959</v>
      </c>
      <c r="C36" s="1" t="n">
        <f aca="false">$B$23*B36+((1-$B$23)*B36)/((1+B36^$B$20)^(1/$B$20))</f>
        <v>-1517187.67868745</v>
      </c>
      <c r="D36" s="1" t="n">
        <f aca="false">C36*($B$18-$B$12)+$B$12</f>
        <v>-231366313197964</v>
      </c>
      <c r="F36" s="1" t="n">
        <v>0.0015</v>
      </c>
      <c r="G36" s="0" t="n">
        <f aca="false">$B$5*F36^4+$B$4*F36^3+$B$3*F36^2+$B$2*F36^1+$B$1</f>
        <v>58923602.0794815</v>
      </c>
    </row>
    <row r="37" customFormat="false" ht="13.8" hidden="false" customHeight="false" outlineLevel="0" collapsed="false">
      <c r="A37" s="1" t="n">
        <v>0.0018</v>
      </c>
      <c r="B37" s="1" t="n">
        <f aca="false">(A37-$B$11)/($B$17-$B$11)</f>
        <v>-0.662054188147595</v>
      </c>
      <c r="C37" s="1" t="n">
        <f aca="false">$B$23*B37+((1-$B$23)*B37)/((1+B37^$B$20)^(1/$B$20))</f>
        <v>-454322.226203024</v>
      </c>
      <c r="D37" s="1" t="n">
        <f aca="false">C37*($B$18-$B$12)+$B$12</f>
        <v>-69282706803997.1</v>
      </c>
      <c r="F37" s="1" t="n">
        <v>0.002</v>
      </c>
      <c r="G37" s="0" t="n">
        <f aca="false">$B$5*F37^4+$B$4*F37^3+$B$3*F37^2+$B$2*F37^1+$B$1</f>
        <v>76277573.4359456</v>
      </c>
    </row>
    <row r="38" customFormat="false" ht="13.8" hidden="false" customHeight="false" outlineLevel="0" collapsed="false">
      <c r="A38" s="1" t="n">
        <v>0.002</v>
      </c>
      <c r="B38" s="1" t="n">
        <f aca="false">(A38-$B$11)/($B$17-$B$11)</f>
        <v>-0.584165460130231</v>
      </c>
      <c r="C38" s="1" t="n">
        <f aca="false">$B$23*B38+((1-$B$23)*B38)/((1+B38^$B$20)^(1/$B$20))</f>
        <v>-115389.464224368</v>
      </c>
      <c r="D38" s="1" t="n">
        <f aca="false">C38*($B$18-$B$12)+$B$12</f>
        <v>-17596536877071.7</v>
      </c>
      <c r="F38" s="1" t="n">
        <v>0.0025</v>
      </c>
      <c r="G38" s="0" t="n">
        <f aca="false">$B$5*F38^4+$B$4*F38^3+$B$3*F38^2+$B$2*F38^1+$B$1</f>
        <v>91173322.3178672</v>
      </c>
    </row>
    <row r="39" customFormat="false" ht="13.8" hidden="false" customHeight="false" outlineLevel="0" collapsed="false">
      <c r="A39" s="1" t="n">
        <v>0.0022</v>
      </c>
      <c r="B39" s="1" t="n">
        <f aca="false">(A39-$B$11)/($B$17-$B$11)</f>
        <v>-0.506276732112867</v>
      </c>
      <c r="C39" s="1" t="n">
        <f aca="false">$B$23*B39+((1-$B$23)*B39)/((1+B39^$B$20)^(1/$B$20))</f>
        <v>-23954.3961316645</v>
      </c>
      <c r="D39" s="1" t="n">
        <f aca="false">C39*($B$18-$B$12)+$B$12</f>
        <v>-3652979343329.71</v>
      </c>
      <c r="F39" s="1" t="n">
        <v>0.003</v>
      </c>
      <c r="G39" s="0" t="n">
        <f aca="false">$B$5*F39^4+$B$4*F39^3+$B$3*F39^2+$B$2*F39^1+$B$1</f>
        <v>103276278.039418</v>
      </c>
    </row>
    <row r="40" customFormat="false" ht="13.8" hidden="false" customHeight="false" outlineLevel="0" collapsed="false">
      <c r="A40" s="1" t="n">
        <v>0.0024</v>
      </c>
      <c r="B40" s="1" t="n">
        <f aca="false">(A40-$B$11)/($B$17-$B$11)</f>
        <v>-0.428388004095503</v>
      </c>
      <c r="C40" s="1" t="n">
        <f aca="false">$B$23*B40+((1-$B$23)*B40)/((1+B40^$B$20)^(1/$B$20))</f>
        <v>-3815.76735585928</v>
      </c>
      <c r="D40" s="1" t="n">
        <f aca="false">C40*($B$18-$B$12)+$B$12</f>
        <v>-581902404868.72</v>
      </c>
      <c r="F40" s="1" t="n">
        <v>0.0035</v>
      </c>
      <c r="G40" s="0" t="n">
        <f aca="false">$B$5*F40^4+$B$4*F40^3+$B$3*F40^2+$B$2*F40^1+$B$1</f>
        <v>112554665.913362</v>
      </c>
    </row>
    <row r="41" customFormat="false" ht="13.8" hidden="false" customHeight="false" outlineLevel="0" collapsed="false">
      <c r="A41" s="1" t="n">
        <v>0.0026</v>
      </c>
      <c r="B41" s="1" t="n">
        <f aca="false">(A41-$B$11)/($B$17-$B$11)</f>
        <v>-0.350499276078139</v>
      </c>
      <c r="C41" s="1" t="n">
        <f aca="false">$B$23*B41+((1-$B$23)*B41)/((1+B41^$B$20)^(1/$B$20))</f>
        <v>-420.036251753569</v>
      </c>
      <c r="D41" s="1" t="n">
        <f aca="false">C41*($B$18-$B$12)+$B$12</f>
        <v>-64064194574.9433</v>
      </c>
      <c r="F41" s="1" t="n">
        <v>0.004</v>
      </c>
      <c r="G41" s="0" t="n">
        <f aca="false">$B$5*F41^4+$B$4*F41^3+$B$3*F41^2+$B$2*F41^1+$B$1</f>
        <v>119279507.251056</v>
      </c>
    </row>
    <row r="42" customFormat="false" ht="13.8" hidden="false" customHeight="false" outlineLevel="0" collapsed="false">
      <c r="A42" s="1" t="n">
        <v>0.0028</v>
      </c>
      <c r="B42" s="1" t="n">
        <f aca="false">(A42-$B$11)/($B$17-$B$11)</f>
        <v>-0.272610548060774</v>
      </c>
      <c r="C42" s="1" t="n">
        <f aca="false">$B$23*B42+((1-$B$23)*B42)/((1+B42^$B$20)^(1/$B$20))</f>
        <v>-26.7174664139748</v>
      </c>
      <c r="D42" s="1" t="n">
        <f aca="false">C42*($B$18-$B$12)+$B$12</f>
        <v>-4084328787.30261</v>
      </c>
      <c r="F42" s="1" t="n">
        <v>0.0045</v>
      </c>
      <c r="G42" s="0" t="n">
        <f aca="false">$B$5*F42^4+$B$4*F42^3+$B$3*F42^2+$B$2*F42^1+$B$1</f>
        <v>124024619.362447</v>
      </c>
    </row>
    <row r="43" customFormat="false" ht="13.8" hidden="false" customHeight="false" outlineLevel="0" collapsed="false">
      <c r="A43" s="1" t="n">
        <v>0.003</v>
      </c>
      <c r="B43" s="1" t="n">
        <f aca="false">(A43-$B$11)/($B$17-$B$11)</f>
        <v>-0.19472182004341</v>
      </c>
      <c r="C43" s="1" t="n">
        <f aca="false">$B$23*B43+((1-$B$23)*B43)/((1+B43^$B$20)^(1/$B$20))</f>
        <v>-0.847752138972282</v>
      </c>
      <c r="D43" s="1" t="n">
        <f aca="false">C43*($B$18-$B$12)+$B$12</f>
        <v>-139279509.171778</v>
      </c>
      <c r="F43" s="1" t="n">
        <v>0.005</v>
      </c>
      <c r="G43" s="0" t="n">
        <f aca="false">$B$5*F43^4+$B$4*F43^3+$B$3*F43^2+$B$2*F43^1+$B$1</f>
        <v>127666615.556077</v>
      </c>
    </row>
    <row r="44" customFormat="false" ht="13.8" hidden="false" customHeight="false" outlineLevel="0" collapsed="false">
      <c r="A44" s="1" t="n">
        <v>0.0032</v>
      </c>
      <c r="B44" s="1" t="n">
        <f aca="false">(A44-$B$11)/($B$17-$B$11)</f>
        <v>-0.116833092026046</v>
      </c>
      <c r="C44" s="1" t="n">
        <f aca="false">$B$23*B44+((1-$B$23)*B44)/((1+B44^$B$20)^(1/$B$20))</f>
        <v>-0.119202271103859</v>
      </c>
      <c r="D44" s="1" t="n">
        <f aca="false">C44*($B$18-$B$12)+$B$12</f>
        <v>-28177967.8186952</v>
      </c>
      <c r="F44" s="1" t="n">
        <v>0.0055</v>
      </c>
      <c r="G44" s="0" t="n">
        <f aca="false">$B$5*F44^4+$B$4*F44^3+$B$3*F44^2+$B$2*F44^1+$B$1</f>
        <v>131384905.139078</v>
      </c>
    </row>
    <row r="45" customFormat="false" ht="13.8" hidden="false" customHeight="false" outlineLevel="0" collapsed="false">
      <c r="A45" s="1" t="n">
        <v>0.0034</v>
      </c>
      <c r="B45" s="1" t="n">
        <f aca="false">(A45-$B$11)/($B$17-$B$11)</f>
        <v>-0.038944364008682</v>
      </c>
      <c r="C45" s="1" t="n">
        <f aca="false">$B$23*B45+((1-$B$23)*B45)/((1+B45^$B$20)^(1/$B$20))</f>
        <v>-0.0389443784952164</v>
      </c>
      <c r="D45" s="1" t="n">
        <f aca="false">C45*($B$18-$B$12)+$B$12</f>
        <v>-15938894.0533551</v>
      </c>
      <c r="F45" s="1" t="n">
        <v>0.006</v>
      </c>
      <c r="G45" s="0" t="n">
        <f aca="false">$B$5*F45^4+$B$4*F45^3+$B$3*F45^2+$B$2*F45^1+$B$1</f>
        <v>136661693.417175</v>
      </c>
    </row>
    <row r="46" customFormat="false" ht="13.8" hidden="false" customHeight="false" outlineLevel="0" collapsed="false">
      <c r="A46" s="1" t="n">
        <v>0.004</v>
      </c>
      <c r="B46" s="1" t="n">
        <f aca="false">(A46-$B$11)/($B$17-$B$11)</f>
        <v>0.19472182004341</v>
      </c>
      <c r="C46" s="1" t="n">
        <f aca="false">$B$23*B46+((1-$B$23)*B46)/((1+B46^$B$20)^(1/$B$20))</f>
        <v>0.847752138972282</v>
      </c>
      <c r="D46" s="1" t="n">
        <f aca="false">C46*($B$18-$B$12)+$B$12</f>
        <v>119279509.171778</v>
      </c>
    </row>
  </sheetData>
  <mergeCells count="1">
    <mergeCell ref="A31:D3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1160</TotalTime>
  <Application>LibreOffice/7.0.6.2$Linux_X86_64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2021-06-19T20:17:43Z</dcterms:created>
  <dc:creator/>
  <dc:description/>
  <dc:language>en-US</dc:language>
  <cp:lastModifiedBy/>
  <dcterms:modified xsi:type="dcterms:W3CDTF">2021-06-26T05:34:04Z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