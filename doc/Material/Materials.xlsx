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d3204\Projets\spartacus\doc\Material\"/>
    </mc:Choice>
  </mc:AlternateContent>
  <xr:revisionPtr revIDLastSave="0" documentId="13_ncr:1_{381526CB-0FD3-40AE-99DF-5779B1BBFEE5}" xr6:coauthVersionLast="45" xr6:coauthVersionMax="45" xr10:uidLastSave="{00000000-0000-0000-0000-000000000000}"/>
  <bookViews>
    <workbookView xWindow="-120" yWindow="-120" windowWidth="29040" windowHeight="15840" activeTab="1" xr2:uid="{284EAF35-2C3A-44EE-A254-267BE16E4CFD}"/>
  </bookViews>
  <sheets>
    <sheet name="PolynomialMP" sheetId="1" r:id="rId1"/>
    <sheet name="Fluag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5" i="2" l="1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21" i="2"/>
  <c r="F53" i="1" l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52" i="1"/>
  <c r="G46" i="1"/>
  <c r="B47" i="1"/>
  <c r="B46" i="1"/>
  <c r="A52" i="1" s="1"/>
  <c r="B37" i="1"/>
  <c r="C25" i="1"/>
  <c r="C26" i="1"/>
  <c r="C34" i="1"/>
  <c r="B38" i="1" s="1"/>
  <c r="B44" i="1" s="1"/>
  <c r="C24" i="1"/>
  <c r="B27" i="1"/>
  <c r="B28" i="1"/>
  <c r="B34" i="1"/>
  <c r="C16" i="1"/>
  <c r="C17" i="1"/>
  <c r="C18" i="1"/>
  <c r="C19" i="1"/>
  <c r="C15" i="1"/>
  <c r="B20" i="1"/>
  <c r="B25" i="1" s="1"/>
  <c r="C8" i="1"/>
  <c r="C9" i="1"/>
  <c r="C10" i="1"/>
  <c r="C11" i="1"/>
  <c r="C12" i="1"/>
  <c r="C7" i="1"/>
  <c r="D52" i="1" l="1"/>
  <c r="B42" i="1"/>
  <c r="B43" i="1" s="1"/>
  <c r="B48" i="1" s="1"/>
  <c r="C31" i="1"/>
  <c r="C29" i="1"/>
  <c r="C33" i="1"/>
  <c r="C32" i="1"/>
  <c r="C28" i="1"/>
  <c r="C30" i="1"/>
  <c r="B24" i="1"/>
  <c r="C27" i="1"/>
  <c r="B31" i="1"/>
  <c r="B30" i="1"/>
  <c r="B33" i="1"/>
  <c r="B32" i="1"/>
  <c r="C20" i="1"/>
  <c r="B29" i="1"/>
  <c r="B26" i="1"/>
  <c r="B57" i="1" l="1"/>
  <c r="C57" i="1" s="1"/>
  <c r="B64" i="1"/>
  <c r="C64" i="1" s="1"/>
  <c r="B59" i="1"/>
  <c r="C59" i="1" s="1"/>
  <c r="B63" i="1"/>
  <c r="C63" i="1" s="1"/>
  <c r="D63" i="1" s="1"/>
  <c r="B58" i="1"/>
  <c r="C58" i="1" s="1"/>
  <c r="B56" i="1"/>
  <c r="C56" i="1" s="1"/>
  <c r="B53" i="1"/>
  <c r="C53" i="1" s="1"/>
  <c r="B54" i="1"/>
  <c r="C54" i="1" s="1"/>
  <c r="D54" i="1" s="1"/>
  <c r="B68" i="1"/>
  <c r="C68" i="1" s="1"/>
  <c r="D68" i="1" s="1"/>
  <c r="B67" i="1"/>
  <c r="C67" i="1" s="1"/>
  <c r="D67" i="1" s="1"/>
  <c r="B65" i="1"/>
  <c r="C65" i="1" s="1"/>
  <c r="D65" i="1" s="1"/>
  <c r="B66" i="1"/>
  <c r="C66" i="1" s="1"/>
  <c r="D66" i="1" s="1"/>
  <c r="B55" i="1"/>
  <c r="C55" i="1" s="1"/>
  <c r="B61" i="1"/>
  <c r="C61" i="1" s="1"/>
  <c r="B60" i="1"/>
  <c r="C60" i="1" s="1"/>
  <c r="B49" i="1"/>
  <c r="D64" i="1" s="1"/>
  <c r="B62" i="1"/>
  <c r="C62" i="1" s="1"/>
  <c r="G47" i="1" l="1"/>
  <c r="I52" i="1"/>
  <c r="D56" i="1"/>
  <c r="D62" i="1"/>
  <c r="D61" i="1"/>
  <c r="D57" i="1"/>
  <c r="D53" i="1"/>
  <c r="D60" i="1"/>
  <c r="G48" i="1"/>
  <c r="G52" i="1" s="1"/>
  <c r="D58" i="1"/>
  <c r="D59" i="1"/>
  <c r="D55" i="1"/>
  <c r="G61" i="1" l="1"/>
  <c r="H61" i="1" s="1"/>
  <c r="G73" i="1"/>
  <c r="H73" i="1" s="1"/>
  <c r="G68" i="1"/>
  <c r="H68" i="1" s="1"/>
  <c r="G57" i="1"/>
  <c r="H57" i="1" s="1"/>
  <c r="G70" i="1"/>
  <c r="H70" i="1" s="1"/>
  <c r="G59" i="1"/>
  <c r="H59" i="1" s="1"/>
  <c r="G62" i="1"/>
  <c r="H62" i="1" s="1"/>
  <c r="G74" i="1"/>
  <c r="H74" i="1" s="1"/>
  <c r="G63" i="1"/>
  <c r="H63" i="1" s="1"/>
  <c r="I63" i="1" s="1"/>
  <c r="G75" i="1"/>
  <c r="H75" i="1" s="1"/>
  <c r="I75" i="1" s="1"/>
  <c r="G64" i="1"/>
  <c r="H64" i="1" s="1"/>
  <c r="G76" i="1"/>
  <c r="H76" i="1" s="1"/>
  <c r="I76" i="1" s="1"/>
  <c r="G53" i="1"/>
  <c r="H53" i="1" s="1"/>
  <c r="G65" i="1"/>
  <c r="H65" i="1" s="1"/>
  <c r="G77" i="1"/>
  <c r="H77" i="1" s="1"/>
  <c r="G54" i="1"/>
  <c r="H54" i="1" s="1"/>
  <c r="I54" i="1" s="1"/>
  <c r="G66" i="1"/>
  <c r="H66" i="1" s="1"/>
  <c r="H52" i="1"/>
  <c r="G55" i="1"/>
  <c r="H55" i="1" s="1"/>
  <c r="I55" i="1" s="1"/>
  <c r="G67" i="1"/>
  <c r="H67" i="1" s="1"/>
  <c r="I67" i="1" s="1"/>
  <c r="G56" i="1"/>
  <c r="H56" i="1" s="1"/>
  <c r="I56" i="1" s="1"/>
  <c r="G69" i="1"/>
  <c r="H69" i="1" s="1"/>
  <c r="I69" i="1" s="1"/>
  <c r="G58" i="1"/>
  <c r="H58" i="1" s="1"/>
  <c r="I58" i="1" s="1"/>
  <c r="G71" i="1"/>
  <c r="H71" i="1" s="1"/>
  <c r="I71" i="1" s="1"/>
  <c r="G60" i="1"/>
  <c r="H60" i="1" s="1"/>
  <c r="G72" i="1"/>
  <c r="H72" i="1" s="1"/>
  <c r="G49" i="1"/>
  <c r="I64" i="1" l="1"/>
  <c r="I74" i="1"/>
  <c r="I62" i="1"/>
  <c r="I59" i="1"/>
  <c r="I66" i="1"/>
  <c r="I72" i="1"/>
  <c r="I70" i="1"/>
  <c r="I57" i="1"/>
  <c r="I77" i="1"/>
  <c r="I68" i="1"/>
  <c r="I65" i="1"/>
  <c r="I73" i="1"/>
  <c r="I60" i="1"/>
  <c r="I53" i="1"/>
  <c r="I61" i="1"/>
</calcChain>
</file>

<file path=xl/sharedStrings.xml><?xml version="1.0" encoding="utf-8"?>
<sst xmlns="http://schemas.openxmlformats.org/spreadsheetml/2006/main" count="65" uniqueCount="52">
  <si>
    <t>E</t>
  </si>
  <si>
    <t>b</t>
  </si>
  <si>
    <t>Définition de la courbe monotonique</t>
  </si>
  <si>
    <t>x</t>
  </si>
  <si>
    <t>f</t>
  </si>
  <si>
    <t>F(x)</t>
  </si>
  <si>
    <t>A0</t>
  </si>
  <si>
    <t>A1</t>
  </si>
  <si>
    <t>A2</t>
  </si>
  <si>
    <t>A3</t>
  </si>
  <si>
    <t>A4</t>
  </si>
  <si>
    <t>A5</t>
  </si>
  <si>
    <t>Coef / E</t>
  </si>
  <si>
    <t>Et</t>
  </si>
  <si>
    <t>Eps</t>
  </si>
  <si>
    <t>Sig(Eps)</t>
  </si>
  <si>
    <t>R0</t>
  </si>
  <si>
    <t>a1</t>
  </si>
  <si>
    <t>a2</t>
  </si>
  <si>
    <t>Sig</t>
  </si>
  <si>
    <t>Eps*</t>
  </si>
  <si>
    <t>EpsR</t>
  </si>
  <si>
    <t>SigR</t>
  </si>
  <si>
    <t>E(Eps)</t>
  </si>
  <si>
    <t>EpsY</t>
  </si>
  <si>
    <t>SigY</t>
  </si>
  <si>
    <t>Eps0</t>
  </si>
  <si>
    <t>Sig*</t>
  </si>
  <si>
    <t>Sig0</t>
  </si>
  <si>
    <t>K</t>
  </si>
  <si>
    <t>alpha</t>
  </si>
  <si>
    <t>phi</t>
  </si>
  <si>
    <t>nu</t>
  </si>
  <si>
    <t>Expression des courbes de fluage</t>
  </si>
  <si>
    <t>Réf.: CIGRÉ GT 22,05 - Permanent elongation of conductors. Predictor equation and evaluation methods.</t>
  </si>
  <si>
    <t>Alexis L. Desrochers, ing. (#5032927)</t>
  </si>
  <si>
    <t>1. COEFFICIENTS DE LA COURBE DE FLUAGE</t>
  </si>
  <si>
    <t>À déterminer pour chaque conducteur, selon les résults d'essais.</t>
  </si>
  <si>
    <t>t</t>
  </si>
  <si>
    <t>Temp</t>
  </si>
  <si>
    <t>h</t>
  </si>
  <si>
    <t>deg</t>
  </si>
  <si>
    <t>Temps de fluage</t>
  </si>
  <si>
    <t>Température de fluage</t>
  </si>
  <si>
    <t>kg/mm2</t>
  </si>
  <si>
    <t>mm/km</t>
  </si>
  <si>
    <t>Mpa</t>
  </si>
  <si>
    <t>C3</t>
  </si>
  <si>
    <t>C2</t>
  </si>
  <si>
    <t>C1</t>
  </si>
  <si>
    <t>C0</t>
  </si>
  <si>
    <t>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</si>
</sst>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PolynomialMP!$C$6</c:f>
              <c:strCache>
                <c:ptCount val="1"/>
                <c:pt idx="0">
                  <c:v>F(x)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5"/>
            <c:intercept val="0"/>
            <c:dispRSqr val="0"/>
            <c:dispEq val="1"/>
            <c:trendlineLbl>
              <c:layout>
                <c:manualLayout>
                  <c:x val="5.3037383377648753E-2"/>
                  <c:y val="-8.8584578796846877E-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PolynomialMP!$A$7:$A$12</c:f>
              <c:numCache>
                <c:formatCode>General</c:formatCode>
                <c:ptCount val="6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</c:numCache>
            </c:numRef>
          </c:xVal>
          <c:yVal>
            <c:numRef>
              <c:f>PolynomialMP!$C$7:$C$12</c:f>
              <c:numCache>
                <c:formatCode>0.00E+00</c:formatCode>
                <c:ptCount val="6"/>
                <c:pt idx="0">
                  <c:v>0</c:v>
                </c:pt>
                <c:pt idx="1">
                  <c:v>190000000</c:v>
                </c:pt>
                <c:pt idx="2">
                  <c:v>356000000</c:v>
                </c:pt>
                <c:pt idx="3">
                  <c:v>491999999.99999994</c:v>
                </c:pt>
                <c:pt idx="4">
                  <c:v>584000000</c:v>
                </c:pt>
                <c:pt idx="5">
                  <c:v>620000000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B0-472C-90B9-5EC0CA0D8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9788048"/>
        <c:axId val="739798216"/>
      </c:scatterChart>
      <c:valAx>
        <c:axId val="739788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39798216"/>
        <c:crosses val="autoZero"/>
        <c:crossBetween val="midCat"/>
      </c:valAx>
      <c:valAx>
        <c:axId val="739798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39788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PolynomialMP!$A$24:$A$34</c:f>
              <c:numCache>
                <c:formatCode>General</c:formatCode>
                <c:ptCount val="1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</c:numCache>
            </c:numRef>
          </c:xVal>
          <c:yVal>
            <c:numRef>
              <c:f>PolynomialMP!$B$24:$B$34</c:f>
              <c:numCache>
                <c:formatCode>0.00E+00</c:formatCode>
                <c:ptCount val="11"/>
                <c:pt idx="0">
                  <c:v>0</c:v>
                </c:pt>
                <c:pt idx="1">
                  <c:v>98210937.797000006</c:v>
                </c:pt>
                <c:pt idx="2">
                  <c:v>190000001.02399999</c:v>
                </c:pt>
                <c:pt idx="3">
                  <c:v>276070314.41100001</c:v>
                </c:pt>
                <c:pt idx="4">
                  <c:v>356000002.68800002</c:v>
                </c:pt>
                <c:pt idx="5">
                  <c:v>428554690.625</c:v>
                </c:pt>
                <c:pt idx="6">
                  <c:v>492000003.07200003</c:v>
                </c:pt>
                <c:pt idx="7">
                  <c:v>544414064.99900007</c:v>
                </c:pt>
                <c:pt idx="8">
                  <c:v>584000001.53600001</c:v>
                </c:pt>
                <c:pt idx="9">
                  <c:v>609398438.01300001</c:v>
                </c:pt>
                <c:pt idx="10">
                  <c:v>619999999.99999976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FE-4906-8EFF-E100E0BD4C3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PolynomialMP!$A$52:$A$68</c:f>
              <c:numCache>
                <c:formatCode>General</c:formatCode>
                <c:ptCount val="17"/>
                <c:pt idx="0">
                  <c:v>7.0000000000000007E-2</c:v>
                </c:pt>
                <c:pt idx="1">
                  <c:v>0.05</c:v>
                </c:pt>
                <c:pt idx="2">
                  <c:v>4.7500000000000001E-2</c:v>
                </c:pt>
                <c:pt idx="3">
                  <c:v>4.4999999999999998E-2</c:v>
                </c:pt>
                <c:pt idx="4">
                  <c:v>4.2500000000000003E-2</c:v>
                </c:pt>
                <c:pt idx="5">
                  <c:v>0.04</c:v>
                </c:pt>
                <c:pt idx="6">
                  <c:v>3.7499999999999999E-2</c:v>
                </c:pt>
                <c:pt idx="7">
                  <c:v>3.5000000000000003E-2</c:v>
                </c:pt>
                <c:pt idx="8">
                  <c:v>3.2500000000000001E-2</c:v>
                </c:pt>
                <c:pt idx="9">
                  <c:v>0.03</c:v>
                </c:pt>
                <c:pt idx="10">
                  <c:v>2.75E-2</c:v>
                </c:pt>
                <c:pt idx="11">
                  <c:v>2.5000000000000001E-2</c:v>
                </c:pt>
                <c:pt idx="12">
                  <c:v>2.2499999999999999E-2</c:v>
                </c:pt>
                <c:pt idx="13">
                  <c:v>0.02</c:v>
                </c:pt>
                <c:pt idx="14">
                  <c:v>1.7500000000000002E-2</c:v>
                </c:pt>
                <c:pt idx="15">
                  <c:v>1.4999999999999999E-2</c:v>
                </c:pt>
                <c:pt idx="16">
                  <c:v>1.2500000000000001E-2</c:v>
                </c:pt>
              </c:numCache>
            </c:numRef>
          </c:xVal>
          <c:yVal>
            <c:numRef>
              <c:f>PolynomialMP!$D$52:$D$68</c:f>
              <c:numCache>
                <c:formatCode>0.00E+00</c:formatCode>
                <c:ptCount val="17"/>
                <c:pt idx="0">
                  <c:v>544414064.99900007</c:v>
                </c:pt>
                <c:pt idx="1">
                  <c:v>344414065.52125406</c:v>
                </c:pt>
                <c:pt idx="2">
                  <c:v>319414066.9069171</c:v>
                </c:pt>
                <c:pt idx="3">
                  <c:v>294414071.07883608</c:v>
                </c:pt>
                <c:pt idx="4">
                  <c:v>269414082.34547812</c:v>
                </c:pt>
                <c:pt idx="5">
                  <c:v>244414110.17265934</c:v>
                </c:pt>
                <c:pt idx="6">
                  <c:v>219414173.95922709</c:v>
                </c:pt>
                <c:pt idx="7">
                  <c:v>194414311.20500267</c:v>
                </c:pt>
                <c:pt idx="8">
                  <c:v>169414590.88598746</c:v>
                </c:pt>
                <c:pt idx="9">
                  <c:v>144415134.55947912</c:v>
                </c:pt>
                <c:pt idx="10">
                  <c:v>119416148.61819392</c:v>
                </c:pt>
                <c:pt idx="11">
                  <c:v>94417972.226878941</c:v>
                </c:pt>
                <c:pt idx="12">
                  <c:v>69421146.835933387</c:v>
                </c:pt>
                <c:pt idx="13">
                  <c:v>44426514.79971379</c:v>
                </c:pt>
                <c:pt idx="14">
                  <c:v>19435356.549590826</c:v>
                </c:pt>
                <c:pt idx="15">
                  <c:v>-5550422.0166032314</c:v>
                </c:pt>
                <c:pt idx="16">
                  <c:v>-30528037.798635125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4FE-4906-8EFF-E100E0BD4C3C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PolynomialMP!$F$52:$F$77</c:f>
              <c:numCache>
                <c:formatCode>General</c:formatCode>
                <c:ptCount val="26"/>
                <c:pt idx="0">
                  <c:v>1.2500000000000001E-2</c:v>
                </c:pt>
                <c:pt idx="1">
                  <c:v>1.7500000000000002E-2</c:v>
                </c:pt>
                <c:pt idx="2">
                  <c:v>2.2500000000000003E-2</c:v>
                </c:pt>
                <c:pt idx="3">
                  <c:v>2.7500000000000004E-2</c:v>
                </c:pt>
                <c:pt idx="4">
                  <c:v>3.2500000000000001E-2</c:v>
                </c:pt>
                <c:pt idx="5">
                  <c:v>3.7499999999999999E-2</c:v>
                </c:pt>
                <c:pt idx="6">
                  <c:v>4.2499999999999996E-2</c:v>
                </c:pt>
                <c:pt idx="7">
                  <c:v>4.7499999999999994E-2</c:v>
                </c:pt>
                <c:pt idx="8">
                  <c:v>5.2499999999999991E-2</c:v>
                </c:pt>
                <c:pt idx="9">
                  <c:v>5.7499999999999989E-2</c:v>
                </c:pt>
                <c:pt idx="10">
                  <c:v>6.2499999999999986E-2</c:v>
                </c:pt>
                <c:pt idx="11">
                  <c:v>6.7499999999999991E-2</c:v>
                </c:pt>
                <c:pt idx="12">
                  <c:v>7.2499999999999995E-2</c:v>
                </c:pt>
                <c:pt idx="13">
                  <c:v>7.7499999999999999E-2</c:v>
                </c:pt>
                <c:pt idx="14">
                  <c:v>8.2500000000000004E-2</c:v>
                </c:pt>
                <c:pt idx="15">
                  <c:v>8.7500000000000008E-2</c:v>
                </c:pt>
                <c:pt idx="16">
                  <c:v>9.2500000000000013E-2</c:v>
                </c:pt>
                <c:pt idx="17">
                  <c:v>9.7500000000000017E-2</c:v>
                </c:pt>
                <c:pt idx="18">
                  <c:v>0.10250000000000002</c:v>
                </c:pt>
                <c:pt idx="19">
                  <c:v>0.10750000000000003</c:v>
                </c:pt>
                <c:pt idx="20">
                  <c:v>0.11250000000000003</c:v>
                </c:pt>
                <c:pt idx="21">
                  <c:v>0.11750000000000003</c:v>
                </c:pt>
                <c:pt idx="22">
                  <c:v>0.12250000000000004</c:v>
                </c:pt>
                <c:pt idx="23">
                  <c:v>0.12750000000000003</c:v>
                </c:pt>
                <c:pt idx="24">
                  <c:v>0.13250000000000003</c:v>
                </c:pt>
                <c:pt idx="25">
                  <c:v>0.13750000000000004</c:v>
                </c:pt>
              </c:numCache>
            </c:numRef>
          </c:xVal>
          <c:yVal>
            <c:numRef>
              <c:f>PolynomialMP!$I$52:$I$77</c:f>
              <c:numCache>
                <c:formatCode>0.00E+00</c:formatCode>
                <c:ptCount val="26"/>
                <c:pt idx="0">
                  <c:v>-30528037.798635125</c:v>
                </c:pt>
                <c:pt idx="1">
                  <c:v>19471962.201325789</c:v>
                </c:pt>
                <c:pt idx="2">
                  <c:v>69471962.12126635</c:v>
                </c:pt>
                <c:pt idx="3">
                  <c:v>119471955.27303609</c:v>
                </c:pt>
                <c:pt idx="4">
                  <c:v>169471798.1602616</c:v>
                </c:pt>
                <c:pt idx="5">
                  <c:v>219470052.58560053</c:v>
                </c:pt>
                <c:pt idx="6">
                  <c:v>269457776.79406911</c:v>
                </c:pt>
                <c:pt idx="7">
                  <c:v>319394724.69166654</c:v>
                </c:pt>
                <c:pt idx="8">
                  <c:v>369137598.8345477</c:v>
                </c:pt>
                <c:pt idx="9">
                  <c:v>418263291.07921106</c:v>
                </c:pt>
                <c:pt idx="10">
                  <c:v>465725547.9932934</c:v>
                </c:pt>
                <c:pt idx="11">
                  <c:v>509437540.79401934</c:v>
                </c:pt>
                <c:pt idx="12">
                  <c:v>546383407.7548424</c:v>
                </c:pt>
                <c:pt idx="13">
                  <c:v>574098659.69245005</c:v>
                </c:pt>
                <c:pt idx="14">
                  <c:v>592555627.71506476</c:v>
                </c:pt>
                <c:pt idx="15">
                  <c:v>603965310.49540842</c:v>
                </c:pt>
                <c:pt idx="16">
                  <c:v>610966011.32229817</c:v>
                </c:pt>
                <c:pt idx="17">
                  <c:v>615494289.28526974</c:v>
                </c:pt>
                <c:pt idx="18">
                  <c:v>618697553.33110619</c:v>
                </c:pt>
                <c:pt idx="19">
                  <c:v>621196231.31901205</c:v>
                </c:pt>
                <c:pt idx="20">
                  <c:v>623316035.19453931</c:v>
                </c:pt>
                <c:pt idx="21">
                  <c:v>625228068.11751103</c:v>
                </c:pt>
                <c:pt idx="22">
                  <c:v>627023536.62821853</c:v>
                </c:pt>
                <c:pt idx="23">
                  <c:v>628752066.09591496</c:v>
                </c:pt>
                <c:pt idx="24">
                  <c:v>630441272.3273927</c:v>
                </c:pt>
                <c:pt idx="25">
                  <c:v>632106874.93801749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FE-4906-8EFF-E100E0BD4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0729496"/>
        <c:axId val="800729168"/>
      </c:scatterChart>
      <c:valAx>
        <c:axId val="800729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0729168"/>
        <c:crosses val="autoZero"/>
        <c:crossBetween val="midCat"/>
      </c:valAx>
      <c:valAx>
        <c:axId val="80072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0729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intercept val="0"/>
            <c:dispRSqr val="0"/>
            <c:dispEq val="1"/>
            <c:trendlineLbl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Fluage!$C$21:$C$41</c:f>
              <c:numCache>
                <c:formatCode>General</c:formatCode>
                <c:ptCount val="21"/>
                <c:pt idx="0">
                  <c:v>0</c:v>
                </c:pt>
                <c:pt idx="1">
                  <c:v>3.6864970687408485E-4</c:v>
                </c:pt>
                <c:pt idx="2">
                  <c:v>9.3973280330899146E-4</c:v>
                </c:pt>
                <c:pt idx="3">
                  <c:v>1.6245294425338622E-3</c:v>
                </c:pt>
                <c:pt idx="4">
                  <c:v>2.395492862595995E-3</c:v>
                </c:pt>
                <c:pt idx="5">
                  <c:v>3.2376015460397053E-3</c:v>
                </c:pt>
                <c:pt idx="6">
                  <c:v>4.1411225307491396E-3</c:v>
                </c:pt>
                <c:pt idx="7">
                  <c:v>5.0991319101413709E-3</c:v>
                </c:pt>
                <c:pt idx="8">
                  <c:v>6.1064017713783275E-3</c:v>
                </c:pt>
                <c:pt idx="9">
                  <c:v>7.1588173283446662E-3</c:v>
                </c:pt>
                <c:pt idx="10">
                  <c:v>8.2530389150603581E-3</c:v>
                </c:pt>
                <c:pt idx="11">
                  <c:v>9.3862910758750404E-3</c:v>
                </c:pt>
                <c:pt idx="12">
                  <c:v>1.0556223461195113E-2</c:v>
                </c:pt>
                <c:pt idx="13">
                  <c:v>1.1760815001207472E-2</c:v>
                </c:pt>
                <c:pt idx="14">
                  <c:v>1.299830553234691E-2</c:v>
                </c:pt>
                <c:pt idx="15">
                  <c:v>1.4267145576576037E-2</c:v>
                </c:pt>
                <c:pt idx="16">
                  <c:v>1.5565958544782831E-2</c:v>
                </c:pt>
                <c:pt idx="17">
                  <c:v>1.6893511694272442E-2</c:v>
                </c:pt>
                <c:pt idx="18">
                  <c:v>1.8248693409757974E-2</c:v>
                </c:pt>
                <c:pt idx="19">
                  <c:v>1.9630495151522858E-2</c:v>
                </c:pt>
                <c:pt idx="20">
                  <c:v>2.1037996913739237E-2</c:v>
                </c:pt>
              </c:numCache>
            </c:numRef>
          </c:xVal>
          <c:yVal>
            <c:numRef>
              <c:f>Fluage!$A$21:$A$41</c:f>
              <c:numCache>
                <c:formatCode>General</c:formatCode>
                <c:ptCount val="2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ED-42D6-8E34-6141B0C11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1470856"/>
        <c:axId val="731471184"/>
      </c:scatterChart>
      <c:valAx>
        <c:axId val="731470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31471184"/>
        <c:crosses val="autoZero"/>
        <c:crossBetween val="midCat"/>
      </c:valAx>
      <c:valAx>
        <c:axId val="73147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31470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695324</xdr:colOff>
      <xdr:row>3</xdr:row>
      <xdr:rowOff>61912</xdr:rowOff>
    </xdr:from>
    <xdr:to>
      <xdr:col>13</xdr:col>
      <xdr:colOff>438149</xdr:colOff>
      <xdr:row>18</xdr:row>
      <xdr:rowOff>66675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FA8A888-0063-498C-97B7-117E57ADF5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128586</xdr:colOff>
      <xdr:row>21</xdr:row>
      <xdr:rowOff>157161</xdr:rowOff>
    </xdr:from>
    <xdr:to>
      <xdr:col>17</xdr:col>
      <xdr:colOff>247649</xdr:colOff>
      <xdr:row>43</xdr:row>
      <xdr:rowOff>104774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006354F-8332-479C-9CAC-0E1319BCD7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449871</xdr:colOff>
      <xdr:row>18</xdr:row>
      <xdr:rowOff>49456</xdr:rowOff>
    </xdr:from>
    <xdr:to>
      <xdr:col>13</xdr:col>
      <xdr:colOff>307730</xdr:colOff>
      <xdr:row>34</xdr:row>
      <xdr:rowOff>146538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20F64B5-D7DB-432C-A5A2-8F49F545EF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ACF7A-ED89-4EB3-969A-7B76054774FF}">
  <dimension ref="A1:I77"/>
  <sheetViews>
    <sheetView topLeftCell="A13" workbookViewId="0">
      <selection activeCell="P49" sqref="P49"/>
    </sheetView>
  </sheetViews>
  <sheetFormatPr baseColWidth="10" defaultRowHeight="15" x14ac:dyDescent="0.25"/>
  <cols>
    <col min="2" max="2" width="11.42578125" customWidth="1"/>
  </cols>
  <sheetData>
    <row r="1" spans="1:3" x14ac:dyDescent="0.25">
      <c r="A1" t="s">
        <v>0</v>
      </c>
      <c r="B1" s="1">
        <v>10000000000</v>
      </c>
    </row>
    <row r="4" spans="1:3" x14ac:dyDescent="0.25">
      <c r="A4" t="s">
        <v>2</v>
      </c>
    </row>
    <row r="6" spans="1:3" x14ac:dyDescent="0.25">
      <c r="A6" t="s">
        <v>3</v>
      </c>
      <c r="B6" t="s">
        <v>4</v>
      </c>
      <c r="C6" t="s">
        <v>5</v>
      </c>
    </row>
    <row r="7" spans="1:3" x14ac:dyDescent="0.25">
      <c r="A7" s="2">
        <v>0</v>
      </c>
      <c r="B7" s="2">
        <v>1</v>
      </c>
      <c r="C7" s="1">
        <f>B7*A7*$B$1</f>
        <v>0</v>
      </c>
    </row>
    <row r="8" spans="1:3" x14ac:dyDescent="0.25">
      <c r="A8" s="2">
        <v>0.02</v>
      </c>
      <c r="B8" s="2">
        <v>0.95</v>
      </c>
      <c r="C8" s="1">
        <f t="shared" ref="C8:C12" si="0">B8*A8*$B$1</f>
        <v>190000000</v>
      </c>
    </row>
    <row r="9" spans="1:3" x14ac:dyDescent="0.25">
      <c r="A9" s="2">
        <v>0.04</v>
      </c>
      <c r="B9" s="2">
        <v>0.89</v>
      </c>
      <c r="C9" s="1">
        <f t="shared" si="0"/>
        <v>356000000</v>
      </c>
    </row>
    <row r="10" spans="1:3" x14ac:dyDescent="0.25">
      <c r="A10" s="2">
        <v>0.06</v>
      </c>
      <c r="B10" s="2">
        <v>0.82</v>
      </c>
      <c r="C10" s="1">
        <f t="shared" si="0"/>
        <v>491999999.99999994</v>
      </c>
    </row>
    <row r="11" spans="1:3" x14ac:dyDescent="0.25">
      <c r="A11" s="2">
        <v>0.08</v>
      </c>
      <c r="B11" s="2">
        <v>0.73</v>
      </c>
      <c r="C11" s="1">
        <f t="shared" si="0"/>
        <v>584000000</v>
      </c>
    </row>
    <row r="12" spans="1:3" x14ac:dyDescent="0.25">
      <c r="A12" s="2">
        <v>0.1</v>
      </c>
      <c r="B12" s="2">
        <v>0.62</v>
      </c>
      <c r="C12" s="1">
        <f t="shared" si="0"/>
        <v>620000000</v>
      </c>
    </row>
    <row r="14" spans="1:3" x14ac:dyDescent="0.25">
      <c r="C14" t="s">
        <v>12</v>
      </c>
    </row>
    <row r="15" spans="1:3" x14ac:dyDescent="0.25">
      <c r="A15" t="s">
        <v>6</v>
      </c>
      <c r="B15" s="3">
        <v>0</v>
      </c>
      <c r="C15" s="1">
        <f>B15/$B$1</f>
        <v>0</v>
      </c>
    </row>
    <row r="16" spans="1:3" x14ac:dyDescent="0.25">
      <c r="A16" t="s">
        <v>7</v>
      </c>
      <c r="B16" s="3">
        <v>10200000000</v>
      </c>
      <c r="C16" s="1">
        <f t="shared" ref="C16:C20" si="1">B16/$B$1</f>
        <v>1.02</v>
      </c>
    </row>
    <row r="17" spans="1:3" x14ac:dyDescent="0.25">
      <c r="A17" t="s">
        <v>8</v>
      </c>
      <c r="B17" s="3">
        <v>-42083330000</v>
      </c>
      <c r="C17" s="1">
        <f t="shared" si="1"/>
        <v>-4.2083329999999997</v>
      </c>
    </row>
    <row r="18" spans="1:3" x14ac:dyDescent="0.25">
      <c r="A18" t="s">
        <v>9</v>
      </c>
      <c r="B18" s="3">
        <v>489583300000</v>
      </c>
      <c r="C18" s="1">
        <f t="shared" si="1"/>
        <v>48.958329999999997</v>
      </c>
    </row>
    <row r="19" spans="1:3" x14ac:dyDescent="0.25">
      <c r="A19" t="s">
        <v>10</v>
      </c>
      <c r="B19" s="3">
        <v>-7291667000000</v>
      </c>
      <c r="C19" s="1">
        <f t="shared" si="1"/>
        <v>-729.16669999999999</v>
      </c>
    </row>
    <row r="20" spans="1:3" x14ac:dyDescent="0.25">
      <c r="A20" t="s">
        <v>11</v>
      </c>
      <c r="B20" s="3">
        <f>26041670000000</f>
        <v>26041670000000</v>
      </c>
      <c r="C20" s="1">
        <f t="shared" si="1"/>
        <v>2604.1669999999999</v>
      </c>
    </row>
    <row r="23" spans="1:3" x14ac:dyDescent="0.25">
      <c r="A23" s="2" t="s">
        <v>14</v>
      </c>
      <c r="B23" s="2" t="s">
        <v>15</v>
      </c>
      <c r="C23" s="2" t="s">
        <v>23</v>
      </c>
    </row>
    <row r="24" spans="1:3" x14ac:dyDescent="0.25">
      <c r="A24" s="2">
        <v>0</v>
      </c>
      <c r="B24" s="3">
        <f>$B$20*A24^5+$B$19*A24^4+$B$18*A24^3+$B$17*A24^2</f>
        <v>0</v>
      </c>
      <c r="C24" s="1">
        <f>5*$B$20*A24^4+4*$B$19*A24^3+3*$B$18*A24^2+2*$B$17*A24+$B$16</f>
        <v>10200000000</v>
      </c>
    </row>
    <row r="25" spans="1:3" x14ac:dyDescent="0.25">
      <c r="A25" s="2">
        <v>0.01</v>
      </c>
      <c r="B25" s="3">
        <f t="shared" ref="B25:B34" si="2">$B$20*A25^5+$B$19*A25^4+$B$18*A25^3+$B$17*A25^2+$B$16*A25+$B$15</f>
        <v>98210937.797000006</v>
      </c>
      <c r="C25" s="1">
        <f t="shared" ref="C25:C34" si="3">5*$B$20*A25^4+4*$B$19*A25^3+3*$B$18*A25^2+2*$B$17*A25+$B$16</f>
        <v>9477343805.5</v>
      </c>
    </row>
    <row r="26" spans="1:3" x14ac:dyDescent="0.25">
      <c r="A26" s="2">
        <v>0.02</v>
      </c>
      <c r="B26" s="3">
        <f t="shared" si="2"/>
        <v>190000001.02399999</v>
      </c>
      <c r="C26" s="1">
        <f t="shared" si="3"/>
        <v>8891666752</v>
      </c>
    </row>
    <row r="27" spans="1:3" x14ac:dyDescent="0.25">
      <c r="A27" s="2">
        <v>0.03</v>
      </c>
      <c r="B27" s="3">
        <f t="shared" si="2"/>
        <v>276070314.41100001</v>
      </c>
      <c r="C27" s="1">
        <f t="shared" si="3"/>
        <v>8314843837.5</v>
      </c>
    </row>
    <row r="28" spans="1:3" x14ac:dyDescent="0.25">
      <c r="A28" s="2">
        <v>0.04</v>
      </c>
      <c r="B28" s="3">
        <f t="shared" si="2"/>
        <v>356000002.68800002</v>
      </c>
      <c r="C28" s="1">
        <f t="shared" si="3"/>
        <v>7650000064</v>
      </c>
    </row>
    <row r="29" spans="1:3" x14ac:dyDescent="0.25">
      <c r="A29" s="2">
        <v>0.05</v>
      </c>
      <c r="B29" s="3">
        <f t="shared" si="2"/>
        <v>428554690.625</v>
      </c>
      <c r="C29" s="1">
        <f t="shared" si="3"/>
        <v>6831510437.5</v>
      </c>
    </row>
    <row r="30" spans="1:3" x14ac:dyDescent="0.25">
      <c r="A30" s="2">
        <v>0.06</v>
      </c>
      <c r="B30" s="3">
        <f t="shared" si="2"/>
        <v>492000003.07200003</v>
      </c>
      <c r="C30" s="1">
        <f t="shared" si="3"/>
        <v>5824999968</v>
      </c>
    </row>
    <row r="31" spans="1:3" x14ac:dyDescent="0.25">
      <c r="A31" s="2">
        <v>7.0000000000000007E-2</v>
      </c>
      <c r="B31" s="3">
        <f t="shared" si="2"/>
        <v>544414064.99900007</v>
      </c>
      <c r="C31" s="1">
        <f t="shared" si="3"/>
        <v>4627343669.499999</v>
      </c>
    </row>
    <row r="32" spans="1:3" x14ac:dyDescent="0.25">
      <c r="A32" s="2">
        <v>0.08</v>
      </c>
      <c r="B32" s="3">
        <f t="shared" si="2"/>
        <v>584000001.53600001</v>
      </c>
      <c r="C32" s="1">
        <f t="shared" si="3"/>
        <v>3266666559.9999981</v>
      </c>
    </row>
    <row r="33" spans="1:7" x14ac:dyDescent="0.25">
      <c r="A33" s="2">
        <v>0.09</v>
      </c>
      <c r="B33" s="3">
        <f t="shared" si="2"/>
        <v>609398438.01300001</v>
      </c>
      <c r="C33" s="1">
        <f t="shared" si="3"/>
        <v>1802343661.5</v>
      </c>
    </row>
    <row r="34" spans="1:7" x14ac:dyDescent="0.25">
      <c r="A34" s="2">
        <v>0.1</v>
      </c>
      <c r="B34" s="3">
        <f t="shared" si="2"/>
        <v>619999999.99999976</v>
      </c>
      <c r="C34" s="1">
        <f t="shared" si="3"/>
        <v>325000000</v>
      </c>
    </row>
    <row r="36" spans="1:7" x14ac:dyDescent="0.25">
      <c r="B36" s="1"/>
    </row>
    <row r="37" spans="1:7" x14ac:dyDescent="0.25">
      <c r="A37" t="s">
        <v>0</v>
      </c>
      <c r="B37" s="1">
        <f>B1</f>
        <v>10000000000</v>
      </c>
    </row>
    <row r="38" spans="1:7" x14ac:dyDescent="0.25">
      <c r="A38" t="s">
        <v>13</v>
      </c>
      <c r="B38" s="1">
        <f>C34</f>
        <v>325000000</v>
      </c>
    </row>
    <row r="39" spans="1:7" x14ac:dyDescent="0.25">
      <c r="A39" t="s">
        <v>16</v>
      </c>
      <c r="B39" s="1">
        <v>10</v>
      </c>
      <c r="C39" s="1"/>
    </row>
    <row r="40" spans="1:7" x14ac:dyDescent="0.25">
      <c r="A40" t="s">
        <v>17</v>
      </c>
      <c r="B40" s="1"/>
    </row>
    <row r="41" spans="1:7" x14ac:dyDescent="0.25">
      <c r="A41" t="s">
        <v>18</v>
      </c>
    </row>
    <row r="42" spans="1:7" x14ac:dyDescent="0.25">
      <c r="A42" t="s">
        <v>24</v>
      </c>
      <c r="B42" s="1">
        <f>(B34-A34*C34)/(B37-B38)</f>
        <v>6.0723514211886279E-2</v>
      </c>
    </row>
    <row r="43" spans="1:7" x14ac:dyDescent="0.25">
      <c r="A43" t="s">
        <v>25</v>
      </c>
      <c r="B43" s="1">
        <f>B42*B37</f>
        <v>607235142.11886275</v>
      </c>
    </row>
    <row r="44" spans="1:7" x14ac:dyDescent="0.25">
      <c r="A44" t="s">
        <v>1</v>
      </c>
      <c r="B44" s="1">
        <f>B38/B37</f>
        <v>3.2500000000000001E-2</v>
      </c>
    </row>
    <row r="46" spans="1:7" x14ac:dyDescent="0.25">
      <c r="A46" t="s">
        <v>21</v>
      </c>
      <c r="B46" s="1">
        <f>A31</f>
        <v>7.0000000000000007E-2</v>
      </c>
      <c r="F46" t="s">
        <v>21</v>
      </c>
      <c r="G46">
        <f>A68</f>
        <v>1.2500000000000001E-2</v>
      </c>
    </row>
    <row r="47" spans="1:7" x14ac:dyDescent="0.25">
      <c r="A47" t="s">
        <v>22</v>
      </c>
      <c r="B47" s="1">
        <f>B31</f>
        <v>544414064.99900007</v>
      </c>
      <c r="F47" t="s">
        <v>22</v>
      </c>
      <c r="G47" s="1">
        <f>D68</f>
        <v>-30528037.798635125</v>
      </c>
    </row>
    <row r="48" spans="1:7" x14ac:dyDescent="0.25">
      <c r="A48" t="s">
        <v>26</v>
      </c>
      <c r="B48" s="1">
        <f>(B47-(-B43)-B46*B37+(-B42)*B38)/(B38-B37)</f>
        <v>-4.4642280620051634E-2</v>
      </c>
      <c r="F48" t="s">
        <v>26</v>
      </c>
      <c r="G48" s="1">
        <f>(G47-B43-G46*B37+B42*B38)/(B38-B37)</f>
        <v>7.6798763596758121E-2</v>
      </c>
    </row>
    <row r="49" spans="1:9" x14ac:dyDescent="0.25">
      <c r="A49" t="s">
        <v>28</v>
      </c>
      <c r="B49" s="1">
        <f>B47-(B46-B48)*B37</f>
        <v>-602008741.20151615</v>
      </c>
      <c r="F49" t="s">
        <v>28</v>
      </c>
      <c r="G49" s="1">
        <f>G47-(G46-G48)*B37</f>
        <v>612459598.16894615</v>
      </c>
    </row>
    <row r="50" spans="1:9" x14ac:dyDescent="0.25">
      <c r="B50" s="1"/>
    </row>
    <row r="51" spans="1:9" x14ac:dyDescent="0.25">
      <c r="A51" s="2" t="s">
        <v>14</v>
      </c>
      <c r="B51" s="3" t="s">
        <v>20</v>
      </c>
      <c r="C51" s="2" t="s">
        <v>27</v>
      </c>
      <c r="D51" t="s">
        <v>19</v>
      </c>
      <c r="F51" s="2" t="s">
        <v>14</v>
      </c>
      <c r="G51" s="3" t="s">
        <v>20</v>
      </c>
      <c r="H51" s="2" t="s">
        <v>27</v>
      </c>
      <c r="I51" t="s">
        <v>19</v>
      </c>
    </row>
    <row r="52" spans="1:9" x14ac:dyDescent="0.25">
      <c r="A52" s="2">
        <f>B46</f>
        <v>7.0000000000000007E-2</v>
      </c>
      <c r="B52" s="3"/>
      <c r="C52" s="2"/>
      <c r="D52" s="1">
        <f>B47</f>
        <v>544414064.99900007</v>
      </c>
      <c r="F52">
        <f>A68</f>
        <v>1.2500000000000001E-2</v>
      </c>
      <c r="G52" s="1">
        <f>(F52-$G$46)/($G$48-$G$46)</f>
        <v>0</v>
      </c>
      <c r="H52" s="1">
        <f>$B$44*G52+((1-$B$44)*G52)/(1+G52^$B$39)^(1/$B$39)</f>
        <v>0</v>
      </c>
      <c r="I52" s="1">
        <f>D68</f>
        <v>-30528037.798635125</v>
      </c>
    </row>
    <row r="53" spans="1:9" x14ac:dyDescent="0.25">
      <c r="A53" s="2">
        <v>0.05</v>
      </c>
      <c r="B53" s="1">
        <f>(A53-$B$46)/($B$48-$B$46)</f>
        <v>0.17445570597364654</v>
      </c>
      <c r="C53" s="1">
        <f>($B$44*B53+(1-$B$44)*B53)/(1+B53^$B$39)^(1/$B$39)</f>
        <v>0.17445570551809561</v>
      </c>
      <c r="D53" s="1">
        <f>C53*($B$49-$B$47)+$B$47</f>
        <v>344414065.52125406</v>
      </c>
      <c r="F53">
        <f>F52+0.005</f>
        <v>1.7500000000000002E-2</v>
      </c>
      <c r="G53" s="1">
        <f t="shared" ref="G53:G77" si="4">(F53-$G$46)/($G$48-$G$46)</f>
        <v>7.7761992926596427E-2</v>
      </c>
      <c r="H53" s="1">
        <f t="shared" ref="H53:H77" si="5">$B$44*G53+((1-$B$44)*G53)/(1+G53^$B$39)^(1/$B$39)</f>
        <v>7.7761992926535614E-2</v>
      </c>
      <c r="I53" s="1">
        <f t="shared" ref="I53:I77" si="6">H53*($G$49-$G$47)+$G$47</f>
        <v>19471962.201325789</v>
      </c>
    </row>
    <row r="54" spans="1:9" x14ac:dyDescent="0.25">
      <c r="A54" s="2">
        <v>4.7500000000000001E-2</v>
      </c>
      <c r="B54" s="1">
        <f t="shared" ref="B54:B68" si="7">(A54-$B$46)/($B$48-$B$46)</f>
        <v>0.19626266922035238</v>
      </c>
      <c r="C54" s="1">
        <f t="shared" ref="C54:C68" si="8">($B$44*B54+(1-$B$44)*B54)/(1+B54^$B$39)^(1/$B$39)</f>
        <v>0.19626266755611724</v>
      </c>
      <c r="D54" s="1">
        <f t="shared" ref="D54:D68" si="9">C54*($B$49-$B$47)+$B$47</f>
        <v>319414066.9069171</v>
      </c>
      <c r="F54">
        <f t="shared" ref="F54:F77" si="10">F53+0.005</f>
        <v>2.2500000000000003E-2</v>
      </c>
      <c r="G54" s="1">
        <f t="shared" si="4"/>
        <v>0.15552398585319285</v>
      </c>
      <c r="H54" s="1">
        <f t="shared" si="5"/>
        <v>0.15552398572862039</v>
      </c>
      <c r="I54" s="1">
        <f t="shared" si="6"/>
        <v>69471962.12126635</v>
      </c>
    </row>
    <row r="55" spans="1:9" x14ac:dyDescent="0.25">
      <c r="A55" s="2">
        <v>4.4999999999999998E-2</v>
      </c>
      <c r="B55" s="1">
        <f t="shared" si="7"/>
        <v>0.21806963246705818</v>
      </c>
      <c r="C55" s="1">
        <f t="shared" si="8"/>
        <v>0.21806962716374775</v>
      </c>
      <c r="D55" s="1">
        <f t="shared" si="9"/>
        <v>294414071.07883608</v>
      </c>
      <c r="F55">
        <f t="shared" si="10"/>
        <v>2.7500000000000004E-2</v>
      </c>
      <c r="G55" s="1">
        <f t="shared" si="4"/>
        <v>0.23328597877978927</v>
      </c>
      <c r="H55" s="1">
        <f t="shared" si="5"/>
        <v>0.23328596800457616</v>
      </c>
      <c r="I55" s="1">
        <f t="shared" si="6"/>
        <v>119471955.27303609</v>
      </c>
    </row>
    <row r="56" spans="1:9" x14ac:dyDescent="0.25">
      <c r="A56" s="2">
        <v>4.2500000000000003E-2</v>
      </c>
      <c r="B56" s="1">
        <f t="shared" si="7"/>
        <v>0.23987659571376396</v>
      </c>
      <c r="C56" s="1">
        <f t="shared" si="8"/>
        <v>0.23987658058280359</v>
      </c>
      <c r="D56" s="1">
        <f t="shared" si="9"/>
        <v>269414082.34547812</v>
      </c>
      <c r="F56">
        <f t="shared" si="10"/>
        <v>3.2500000000000001E-2</v>
      </c>
      <c r="G56" s="1">
        <f t="shared" si="4"/>
        <v>0.31104797170638565</v>
      </c>
      <c r="H56" s="1">
        <f t="shared" si="5"/>
        <v>0.31104771658312336</v>
      </c>
      <c r="I56" s="1">
        <f t="shared" si="6"/>
        <v>169471798.1602616</v>
      </c>
    </row>
    <row r="57" spans="1:9" x14ac:dyDescent="0.25">
      <c r="A57" s="2">
        <v>0.04</v>
      </c>
      <c r="B57" s="1">
        <f t="shared" si="7"/>
        <v>0.2616835589604698</v>
      </c>
      <c r="C57" s="1">
        <f t="shared" si="8"/>
        <v>0.26168351955645669</v>
      </c>
      <c r="D57" s="1">
        <f t="shared" si="9"/>
        <v>244414110.17265934</v>
      </c>
      <c r="F57">
        <f t="shared" si="10"/>
        <v>3.7499999999999999E-2</v>
      </c>
      <c r="G57" s="1">
        <f t="shared" si="4"/>
        <v>0.38880996463298201</v>
      </c>
      <c r="H57" s="1">
        <f t="shared" si="5"/>
        <v>0.38880699472243085</v>
      </c>
      <c r="I57" s="1">
        <f t="shared" si="6"/>
        <v>219470052.58560053</v>
      </c>
    </row>
    <row r="58" spans="1:9" x14ac:dyDescent="0.25">
      <c r="A58" s="2">
        <v>3.7499999999999999E-2</v>
      </c>
      <c r="B58" s="1">
        <f t="shared" si="7"/>
        <v>0.28349052220717563</v>
      </c>
      <c r="C58" s="1">
        <f t="shared" si="8"/>
        <v>0.28349042716350897</v>
      </c>
      <c r="D58" s="1">
        <f t="shared" si="9"/>
        <v>219414173.95922709</v>
      </c>
      <c r="F58">
        <f t="shared" si="10"/>
        <v>4.2499999999999996E-2</v>
      </c>
      <c r="G58" s="1">
        <f t="shared" si="4"/>
        <v>0.46657195755957837</v>
      </c>
      <c r="H58" s="1">
        <f t="shared" si="5"/>
        <v>0.46654989584874251</v>
      </c>
      <c r="I58" s="1">
        <f t="shared" si="6"/>
        <v>269457776.79406911</v>
      </c>
    </row>
    <row r="59" spans="1:9" x14ac:dyDescent="0.25">
      <c r="A59" s="2">
        <v>3.5000000000000003E-2</v>
      </c>
      <c r="B59" s="1">
        <f t="shared" si="7"/>
        <v>0.30529748545388141</v>
      </c>
      <c r="C59" s="1">
        <f t="shared" si="8"/>
        <v>0.30529727069367141</v>
      </c>
      <c r="D59" s="1">
        <f t="shared" si="9"/>
        <v>194414311.20500267</v>
      </c>
      <c r="F59">
        <f t="shared" si="10"/>
        <v>4.7499999999999994E-2</v>
      </c>
      <c r="G59" s="1">
        <f t="shared" si="4"/>
        <v>0.54433395048617472</v>
      </c>
      <c r="H59" s="1">
        <f t="shared" si="5"/>
        <v>0.54421382763251824</v>
      </c>
      <c r="I59" s="1">
        <f t="shared" si="6"/>
        <v>319394724.69166654</v>
      </c>
    </row>
    <row r="60" spans="1:9" x14ac:dyDescent="0.25">
      <c r="A60" s="2">
        <v>3.2500000000000001E-2</v>
      </c>
      <c r="B60" s="1">
        <f t="shared" si="7"/>
        <v>0.32710444870058725</v>
      </c>
      <c r="C60" s="1">
        <f t="shared" si="8"/>
        <v>0.32710398998065898</v>
      </c>
      <c r="D60" s="1">
        <f t="shared" si="9"/>
        <v>169414590.88598746</v>
      </c>
      <c r="F60">
        <f t="shared" si="10"/>
        <v>5.2499999999999991E-2</v>
      </c>
      <c r="G60" s="1">
        <f t="shared" si="4"/>
        <v>0.62209594341277119</v>
      </c>
      <c r="H60" s="1">
        <f t="shared" si="5"/>
        <v>0.62157592817746421</v>
      </c>
      <c r="I60" s="1">
        <f t="shared" si="6"/>
        <v>369137598.8345477</v>
      </c>
    </row>
    <row r="61" spans="1:9" x14ac:dyDescent="0.25">
      <c r="A61" s="2">
        <v>0.03</v>
      </c>
      <c r="B61" s="1">
        <f t="shared" si="7"/>
        <v>0.34891141194729308</v>
      </c>
      <c r="C61" s="1">
        <f t="shared" si="8"/>
        <v>0.34891047899265076</v>
      </c>
      <c r="D61" s="1">
        <f t="shared" si="9"/>
        <v>144415134.55947912</v>
      </c>
      <c r="F61">
        <f t="shared" si="10"/>
        <v>5.7499999999999989E-2</v>
      </c>
      <c r="G61" s="1">
        <f t="shared" si="4"/>
        <v>0.69985793633936744</v>
      </c>
      <c r="H61" s="1">
        <f t="shared" si="5"/>
        <v>0.69797816283433756</v>
      </c>
      <c r="I61" s="1">
        <f t="shared" si="6"/>
        <v>418263291.07921106</v>
      </c>
    </row>
    <row r="62" spans="1:9" x14ac:dyDescent="0.25">
      <c r="A62" s="2">
        <v>2.75E-2</v>
      </c>
      <c r="B62" s="1">
        <f t="shared" si="7"/>
        <v>0.37071837519399892</v>
      </c>
      <c r="C62" s="1">
        <f t="shared" si="8"/>
        <v>0.37071655769771161</v>
      </c>
      <c r="D62" s="1">
        <f t="shared" si="9"/>
        <v>119416148.61819392</v>
      </c>
      <c r="F62">
        <f t="shared" si="10"/>
        <v>6.2499999999999986E-2</v>
      </c>
      <c r="G62" s="1">
        <f t="shared" si="4"/>
        <v>0.77761992926596391</v>
      </c>
      <c r="H62" s="1">
        <f t="shared" si="5"/>
        <v>0.77179335656300097</v>
      </c>
      <c r="I62" s="1">
        <f t="shared" si="6"/>
        <v>465725547.9932934</v>
      </c>
    </row>
    <row r="63" spans="1:9" x14ac:dyDescent="0.25">
      <c r="A63" s="2">
        <v>2.5000000000000001E-2</v>
      </c>
      <c r="B63" s="1">
        <f t="shared" si="7"/>
        <v>0.39252533844070464</v>
      </c>
      <c r="C63" s="1">
        <f>($B$44*B63+(1-$B$44)*B63)/(1+B63^$B$39)^(1/$B$39)</f>
        <v>0.3925219302497146</v>
      </c>
      <c r="D63" s="1">
        <f t="shared" si="9"/>
        <v>94417972.226878941</v>
      </c>
      <c r="F63">
        <f t="shared" si="10"/>
        <v>6.7499999999999991E-2</v>
      </c>
      <c r="G63" s="1">
        <f t="shared" si="4"/>
        <v>0.85538192219256037</v>
      </c>
      <c r="H63" s="1">
        <f t="shared" si="5"/>
        <v>0.83977599006255066</v>
      </c>
      <c r="I63" s="1">
        <f t="shared" si="6"/>
        <v>509437540.79401934</v>
      </c>
    </row>
    <row r="64" spans="1:9" x14ac:dyDescent="0.25">
      <c r="A64" s="2">
        <v>2.2499999999999999E-2</v>
      </c>
      <c r="B64" s="1">
        <f t="shared" si="7"/>
        <v>0.41433230168741048</v>
      </c>
      <c r="C64" s="1">
        <f t="shared" si="8"/>
        <v>0.41432612435310151</v>
      </c>
      <c r="D64" s="1">
        <f t="shared" si="9"/>
        <v>69421146.835933387</v>
      </c>
      <c r="F64">
        <f t="shared" si="10"/>
        <v>7.2499999999999995E-2</v>
      </c>
      <c r="G64" s="1">
        <f t="shared" si="4"/>
        <v>0.93314391511915684</v>
      </c>
      <c r="H64" s="1">
        <f t="shared" si="5"/>
        <v>0.89723567496804058</v>
      </c>
      <c r="I64" s="1">
        <f t="shared" si="6"/>
        <v>546383407.7548424</v>
      </c>
    </row>
    <row r="65" spans="1:9" x14ac:dyDescent="0.25">
      <c r="A65" s="2">
        <v>0.02</v>
      </c>
      <c r="B65" s="1">
        <f t="shared" si="7"/>
        <v>0.43613926493411626</v>
      </c>
      <c r="C65" s="1">
        <f t="shared" si="8"/>
        <v>0.43612840524025259</v>
      </c>
      <c r="D65" s="1">
        <f t="shared" si="9"/>
        <v>44426514.79971379</v>
      </c>
      <c r="F65">
        <f t="shared" si="10"/>
        <v>7.7499999999999999E-2</v>
      </c>
      <c r="G65" s="1">
        <f t="shared" si="4"/>
        <v>1.0109059080457534</v>
      </c>
      <c r="H65" s="1">
        <f t="shared" si="5"/>
        <v>0.94033953947066218</v>
      </c>
      <c r="I65" s="1">
        <f t="shared" si="6"/>
        <v>574098659.69245005</v>
      </c>
    </row>
    <row r="66" spans="1:9" x14ac:dyDescent="0.25">
      <c r="A66" s="2">
        <v>1.7500000000000002E-2</v>
      </c>
      <c r="B66" s="1">
        <f t="shared" si="7"/>
        <v>0.45794622818082209</v>
      </c>
      <c r="C66" s="1">
        <f t="shared" si="8"/>
        <v>0.45792765601837421</v>
      </c>
      <c r="D66" s="1">
        <f t="shared" si="9"/>
        <v>19435356.549590826</v>
      </c>
      <c r="F66">
        <f t="shared" si="10"/>
        <v>8.2500000000000004E-2</v>
      </c>
      <c r="G66" s="1">
        <f t="shared" si="4"/>
        <v>1.0886679009723499</v>
      </c>
      <c r="H66" s="1">
        <f t="shared" si="5"/>
        <v>0.96904455180708193</v>
      </c>
      <c r="I66" s="1">
        <f t="shared" si="6"/>
        <v>592555627.71506476</v>
      </c>
    </row>
    <row r="67" spans="1:9" x14ac:dyDescent="0.25">
      <c r="A67" s="2">
        <v>1.4999999999999999E-2</v>
      </c>
      <c r="B67" s="1">
        <f t="shared" si="7"/>
        <v>0.47975319142752793</v>
      </c>
      <c r="C67" s="1">
        <f t="shared" si="8"/>
        <v>0.47972221421370714</v>
      </c>
      <c r="D67" s="1">
        <f t="shared" si="9"/>
        <v>-5550422.0166032314</v>
      </c>
      <c r="F67">
        <f t="shared" si="10"/>
        <v>8.7500000000000008E-2</v>
      </c>
      <c r="G67" s="1">
        <f t="shared" si="4"/>
        <v>1.1664298938989464</v>
      </c>
      <c r="H67" s="1">
        <f t="shared" si="5"/>
        <v>0.98678934524027773</v>
      </c>
      <c r="I67" s="1">
        <f t="shared" si="6"/>
        <v>603965310.49540842</v>
      </c>
    </row>
    <row r="68" spans="1:9" x14ac:dyDescent="0.25">
      <c r="A68" s="2">
        <v>1.2500000000000001E-2</v>
      </c>
      <c r="B68" s="1">
        <f t="shared" si="7"/>
        <v>0.50156015467423376</v>
      </c>
      <c r="C68" s="1">
        <f t="shared" si="8"/>
        <v>0.50150965218767152</v>
      </c>
      <c r="D68" s="1">
        <f t="shared" si="9"/>
        <v>-30528037.798635125</v>
      </c>
      <c r="F68">
        <f t="shared" si="10"/>
        <v>9.2500000000000013E-2</v>
      </c>
      <c r="G68" s="1">
        <f t="shared" si="4"/>
        <v>1.2441918868255428</v>
      </c>
      <c r="H68" s="1">
        <f t="shared" si="5"/>
        <v>0.99767711420391403</v>
      </c>
      <c r="I68" s="1">
        <f t="shared" si="6"/>
        <v>610966011.32229817</v>
      </c>
    </row>
    <row r="69" spans="1:9" x14ac:dyDescent="0.25">
      <c r="B69" s="1"/>
      <c r="F69">
        <f t="shared" si="10"/>
        <v>9.7500000000000017E-2</v>
      </c>
      <c r="G69" s="1">
        <f t="shared" si="4"/>
        <v>1.3219538797521393</v>
      </c>
      <c r="H69" s="1">
        <f t="shared" si="5"/>
        <v>1.0047196725824392</v>
      </c>
      <c r="I69" s="1">
        <f t="shared" si="6"/>
        <v>615494289.28526974</v>
      </c>
    </row>
    <row r="70" spans="1:9" x14ac:dyDescent="0.25">
      <c r="B70" s="1"/>
      <c r="F70">
        <f t="shared" si="10"/>
        <v>0.10250000000000002</v>
      </c>
      <c r="G70" s="1">
        <f t="shared" si="4"/>
        <v>1.3997158726787358</v>
      </c>
      <c r="H70" s="1">
        <f t="shared" si="5"/>
        <v>1.0097015165039263</v>
      </c>
      <c r="I70" s="1">
        <f t="shared" si="6"/>
        <v>618697553.33110619</v>
      </c>
    </row>
    <row r="71" spans="1:9" x14ac:dyDescent="0.25">
      <c r="B71" s="1"/>
      <c r="F71">
        <f t="shared" si="10"/>
        <v>0.10750000000000003</v>
      </c>
      <c r="G71" s="1">
        <f t="shared" si="4"/>
        <v>1.4774778656053322</v>
      </c>
      <c r="H71" s="1">
        <f t="shared" si="5"/>
        <v>1.0135875601043538</v>
      </c>
      <c r="I71" s="1">
        <f t="shared" si="6"/>
        <v>621196231.31901205</v>
      </c>
    </row>
    <row r="72" spans="1:9" x14ac:dyDescent="0.25">
      <c r="B72" s="1"/>
      <c r="F72">
        <f t="shared" si="10"/>
        <v>0.11250000000000003</v>
      </c>
      <c r="G72" s="1">
        <f t="shared" si="4"/>
        <v>1.5552398585319287</v>
      </c>
      <c r="H72" s="1">
        <f t="shared" si="5"/>
        <v>1.0168843635838443</v>
      </c>
      <c r="I72" s="1">
        <f t="shared" si="6"/>
        <v>623316035.19453931</v>
      </c>
    </row>
    <row r="73" spans="1:9" x14ac:dyDescent="0.25">
      <c r="B73" s="1"/>
      <c r="F73">
        <f t="shared" si="10"/>
        <v>0.11750000000000003</v>
      </c>
      <c r="G73" s="1">
        <f t="shared" si="4"/>
        <v>1.6330018514585252</v>
      </c>
      <c r="H73" s="1">
        <f t="shared" si="5"/>
        <v>1.0198580333964753</v>
      </c>
      <c r="I73" s="1">
        <f t="shared" si="6"/>
        <v>625228068.11751103</v>
      </c>
    </row>
    <row r="74" spans="1:9" x14ac:dyDescent="0.25">
      <c r="B74" s="1"/>
      <c r="F74">
        <f t="shared" si="10"/>
        <v>0.12250000000000004</v>
      </c>
      <c r="G74" s="1">
        <f t="shared" si="4"/>
        <v>1.7107638443851216</v>
      </c>
      <c r="H74" s="1">
        <f t="shared" si="5"/>
        <v>1.0226504175890665</v>
      </c>
      <c r="I74" s="1">
        <f t="shared" si="6"/>
        <v>627023536.62821853</v>
      </c>
    </row>
    <row r="75" spans="1:9" x14ac:dyDescent="0.25">
      <c r="B75" s="1"/>
      <c r="F75">
        <f t="shared" si="10"/>
        <v>0.12750000000000003</v>
      </c>
      <c r="G75" s="1">
        <f t="shared" si="4"/>
        <v>1.7885258373117179</v>
      </c>
      <c r="H75" s="1">
        <f t="shared" si="5"/>
        <v>1.025338695513875</v>
      </c>
      <c r="I75" s="1">
        <f t="shared" si="6"/>
        <v>628752066.09591496</v>
      </c>
    </row>
    <row r="76" spans="1:9" x14ac:dyDescent="0.25">
      <c r="B76" s="1"/>
      <c r="F76">
        <f t="shared" si="10"/>
        <v>0.13250000000000003</v>
      </c>
      <c r="G76" s="1">
        <f t="shared" si="4"/>
        <v>1.8662878302383143</v>
      </c>
      <c r="H76" s="1">
        <f t="shared" si="5"/>
        <v>1.0279658163743497</v>
      </c>
      <c r="I76" s="1">
        <f t="shared" si="6"/>
        <v>630441272.3273927</v>
      </c>
    </row>
    <row r="77" spans="1:9" x14ac:dyDescent="0.25">
      <c r="F77">
        <f t="shared" si="10"/>
        <v>0.13750000000000004</v>
      </c>
      <c r="G77" s="1">
        <f t="shared" si="4"/>
        <v>1.9440498231649106</v>
      </c>
      <c r="H77" s="1">
        <f t="shared" si="5"/>
        <v>1.0305562279428682</v>
      </c>
      <c r="I77" s="1">
        <f t="shared" si="6"/>
        <v>632106874.93801749</v>
      </c>
    </row>
  </sheetData>
  <pageMargins left="0.7" right="0.7" top="0.75" bottom="0.75" header="0.3" footer="0.3"/>
  <pageSetup orientation="portrait" horizontalDpi="90" verticalDpi="9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73388-FAD7-4340-844A-9B82C7B3ECA5}">
  <dimension ref="A1:J41"/>
  <sheetViews>
    <sheetView tabSelected="1" topLeftCell="A13" zoomScaleNormal="100" workbookViewId="0">
      <selection activeCell="A31" sqref="A31:C31"/>
    </sheetView>
  </sheetViews>
  <sheetFormatPr baseColWidth="10" defaultRowHeight="15" x14ac:dyDescent="0.25"/>
  <cols>
    <col min="3" max="3" width="12" bestFit="1" customWidth="1"/>
    <col min="7" max="7" width="12" bestFit="1" customWidth="1"/>
    <col min="19" max="19" width="12" bestFit="1" customWidth="1"/>
  </cols>
  <sheetData>
    <row r="1" spans="1:10" x14ac:dyDescent="0.25">
      <c r="A1" t="s">
        <v>33</v>
      </c>
    </row>
    <row r="2" spans="1:10" x14ac:dyDescent="0.25">
      <c r="A2" t="s">
        <v>34</v>
      </c>
    </row>
    <row r="3" spans="1:10" x14ac:dyDescent="0.25">
      <c r="A3" t="s">
        <v>35</v>
      </c>
    </row>
    <row r="6" spans="1:10" x14ac:dyDescent="0.25">
      <c r="A6" t="s">
        <v>36</v>
      </c>
    </row>
    <row r="7" spans="1:10" x14ac:dyDescent="0.25">
      <c r="A7" t="s">
        <v>37</v>
      </c>
      <c r="I7" t="s">
        <v>51</v>
      </c>
      <c r="J7" s="1">
        <v>-2848333000</v>
      </c>
    </row>
    <row r="8" spans="1:10" x14ac:dyDescent="0.25">
      <c r="I8" t="s">
        <v>47</v>
      </c>
      <c r="J8" s="1">
        <v>144379000</v>
      </c>
    </row>
    <row r="9" spans="1:10" x14ac:dyDescent="0.25">
      <c r="A9" t="s">
        <v>29</v>
      </c>
      <c r="B9">
        <v>6.1</v>
      </c>
      <c r="I9" t="s">
        <v>48</v>
      </c>
      <c r="J9" s="1">
        <v>-2702109</v>
      </c>
    </row>
    <row r="10" spans="1:10" x14ac:dyDescent="0.25">
      <c r="A10" t="s">
        <v>31</v>
      </c>
      <c r="B10">
        <v>2.5000000000000001E-2</v>
      </c>
      <c r="I10" t="s">
        <v>49</v>
      </c>
      <c r="J10" s="1">
        <v>38381.879999999997</v>
      </c>
    </row>
    <row r="11" spans="1:10" x14ac:dyDescent="0.25">
      <c r="A11" t="s">
        <v>30</v>
      </c>
      <c r="B11">
        <v>1.35</v>
      </c>
      <c r="I11" t="s">
        <v>50</v>
      </c>
      <c r="J11" s="1">
        <v>0</v>
      </c>
    </row>
    <row r="12" spans="1:10" x14ac:dyDescent="0.25">
      <c r="A12" t="s">
        <v>32</v>
      </c>
      <c r="B12">
        <v>0.21</v>
      </c>
    </row>
    <row r="15" spans="1:10" x14ac:dyDescent="0.25">
      <c r="A15" t="s">
        <v>38</v>
      </c>
      <c r="B15">
        <f>8760*10</f>
        <v>87600</v>
      </c>
      <c r="C15" t="s">
        <v>40</v>
      </c>
      <c r="D15" t="s">
        <v>42</v>
      </c>
    </row>
    <row r="16" spans="1:10" x14ac:dyDescent="0.25">
      <c r="A16" t="s">
        <v>39</v>
      </c>
      <c r="B16">
        <v>30</v>
      </c>
      <c r="C16" t="s">
        <v>41</v>
      </c>
      <c r="D16" t="s">
        <v>43</v>
      </c>
    </row>
    <row r="19" spans="1:4" x14ac:dyDescent="0.25">
      <c r="A19" s="2" t="s">
        <v>19</v>
      </c>
      <c r="B19" s="2" t="s">
        <v>19</v>
      </c>
      <c r="C19" s="2" t="s">
        <v>14</v>
      </c>
      <c r="D19" s="2"/>
    </row>
    <row r="20" spans="1:4" x14ac:dyDescent="0.25">
      <c r="A20" s="2" t="s">
        <v>46</v>
      </c>
      <c r="B20" s="2" t="s">
        <v>44</v>
      </c>
      <c r="C20" s="2" t="s">
        <v>45</v>
      </c>
      <c r="D20" s="2"/>
    </row>
    <row r="21" spans="1:4" x14ac:dyDescent="0.25">
      <c r="A21" s="2">
        <v>0</v>
      </c>
      <c r="B21">
        <f>A21/9.81</f>
        <v>0</v>
      </c>
      <c r="C21">
        <f>($B$9*EXP($B$10*$B$16)*(B21^$B$11)*($B$15^$B$12))/1000000</f>
        <v>0</v>
      </c>
    </row>
    <row r="22" spans="1:4" x14ac:dyDescent="0.25">
      <c r="A22" s="2">
        <v>20</v>
      </c>
      <c r="B22">
        <f t="shared" ref="B22:B41" si="0">A22/9.81</f>
        <v>2.038735983690112</v>
      </c>
      <c r="C22">
        <f t="shared" ref="C22:C41" si="1">($B$9*EXP($B$10*$B$16)*(B22^$B$11)*($B$15^$B$12))/1000000</f>
        <v>3.6864970687408485E-4</v>
      </c>
    </row>
    <row r="23" spans="1:4" x14ac:dyDescent="0.25">
      <c r="A23" s="2">
        <v>40</v>
      </c>
      <c r="B23">
        <f t="shared" si="0"/>
        <v>4.077471967380224</v>
      </c>
      <c r="C23">
        <f t="shared" si="1"/>
        <v>9.3973280330899146E-4</v>
      </c>
    </row>
    <row r="24" spans="1:4" x14ac:dyDescent="0.25">
      <c r="A24" s="2">
        <v>60</v>
      </c>
      <c r="B24">
        <f t="shared" si="0"/>
        <v>6.1162079510703364</v>
      </c>
      <c r="C24">
        <f t="shared" si="1"/>
        <v>1.6245294425338622E-3</v>
      </c>
    </row>
    <row r="25" spans="1:4" x14ac:dyDescent="0.25">
      <c r="A25" s="2">
        <v>80</v>
      </c>
      <c r="B25">
        <f t="shared" si="0"/>
        <v>8.154943934760448</v>
      </c>
      <c r="C25">
        <f t="shared" si="1"/>
        <v>2.395492862595995E-3</v>
      </c>
    </row>
    <row r="26" spans="1:4" x14ac:dyDescent="0.25">
      <c r="A26" s="2">
        <v>100</v>
      </c>
      <c r="B26">
        <f t="shared" si="0"/>
        <v>10.19367991845056</v>
      </c>
      <c r="C26">
        <f t="shared" si="1"/>
        <v>3.2376015460397053E-3</v>
      </c>
    </row>
    <row r="27" spans="1:4" x14ac:dyDescent="0.25">
      <c r="A27" s="2">
        <v>120</v>
      </c>
      <c r="B27">
        <f t="shared" si="0"/>
        <v>12.232415902140673</v>
      </c>
      <c r="C27">
        <f t="shared" si="1"/>
        <v>4.1411225307491396E-3</v>
      </c>
    </row>
    <row r="28" spans="1:4" x14ac:dyDescent="0.25">
      <c r="A28" s="2">
        <v>140</v>
      </c>
      <c r="B28">
        <f t="shared" si="0"/>
        <v>14.271151885830784</v>
      </c>
      <c r="C28">
        <f t="shared" si="1"/>
        <v>5.0991319101413709E-3</v>
      </c>
    </row>
    <row r="29" spans="1:4" x14ac:dyDescent="0.25">
      <c r="A29" s="2">
        <v>160</v>
      </c>
      <c r="B29">
        <f t="shared" si="0"/>
        <v>16.309887869520896</v>
      </c>
      <c r="C29">
        <f t="shared" si="1"/>
        <v>6.1064017713783275E-3</v>
      </c>
    </row>
    <row r="30" spans="1:4" x14ac:dyDescent="0.25">
      <c r="A30" s="2">
        <v>180</v>
      </c>
      <c r="B30">
        <f t="shared" si="0"/>
        <v>18.348623853211009</v>
      </c>
      <c r="C30">
        <f t="shared" si="1"/>
        <v>7.1588173283446662E-3</v>
      </c>
    </row>
    <row r="31" spans="1:4" x14ac:dyDescent="0.25">
      <c r="A31" s="2">
        <v>200</v>
      </c>
      <c r="B31">
        <f t="shared" si="0"/>
        <v>20.387359836901119</v>
      </c>
      <c r="C31">
        <f t="shared" si="1"/>
        <v>8.2530389150603581E-3</v>
      </c>
    </row>
    <row r="32" spans="1:4" x14ac:dyDescent="0.25">
      <c r="A32" s="2">
        <v>220</v>
      </c>
      <c r="B32">
        <f t="shared" si="0"/>
        <v>22.426095820591232</v>
      </c>
      <c r="C32">
        <f t="shared" si="1"/>
        <v>9.3862910758750404E-3</v>
      </c>
    </row>
    <row r="33" spans="1:3" x14ac:dyDescent="0.25">
      <c r="A33" s="2">
        <v>240</v>
      </c>
      <c r="B33">
        <f t="shared" si="0"/>
        <v>24.464831804281346</v>
      </c>
      <c r="C33">
        <f t="shared" si="1"/>
        <v>1.0556223461195113E-2</v>
      </c>
    </row>
    <row r="34" spans="1:3" x14ac:dyDescent="0.25">
      <c r="A34" s="2">
        <v>260</v>
      </c>
      <c r="B34">
        <f t="shared" si="0"/>
        <v>26.503567787971456</v>
      </c>
      <c r="C34">
        <f t="shared" si="1"/>
        <v>1.1760815001207472E-2</v>
      </c>
    </row>
    <row r="35" spans="1:3" x14ac:dyDescent="0.25">
      <c r="A35" s="2">
        <v>280</v>
      </c>
      <c r="B35">
        <f t="shared" si="0"/>
        <v>28.542303771661569</v>
      </c>
      <c r="C35">
        <f t="shared" si="1"/>
        <v>1.299830553234691E-2</v>
      </c>
    </row>
    <row r="36" spans="1:3" x14ac:dyDescent="0.25">
      <c r="A36" s="2">
        <v>300</v>
      </c>
      <c r="B36">
        <f t="shared" si="0"/>
        <v>30.581039755351682</v>
      </c>
      <c r="C36">
        <f t="shared" si="1"/>
        <v>1.4267145576576037E-2</v>
      </c>
    </row>
    <row r="37" spans="1:3" x14ac:dyDescent="0.25">
      <c r="A37" s="2">
        <v>320</v>
      </c>
      <c r="B37">
        <f t="shared" si="0"/>
        <v>32.619775739041792</v>
      </c>
      <c r="C37">
        <f t="shared" si="1"/>
        <v>1.5565958544782831E-2</v>
      </c>
    </row>
    <row r="38" spans="1:3" x14ac:dyDescent="0.25">
      <c r="A38" s="2">
        <v>340</v>
      </c>
      <c r="B38">
        <f t="shared" si="0"/>
        <v>34.658511722731902</v>
      </c>
      <c r="C38">
        <f t="shared" si="1"/>
        <v>1.6893511694272442E-2</v>
      </c>
    </row>
    <row r="39" spans="1:3" x14ac:dyDescent="0.25">
      <c r="A39" s="2">
        <v>360</v>
      </c>
      <c r="B39">
        <f t="shared" si="0"/>
        <v>36.697247706422019</v>
      </c>
      <c r="C39">
        <f t="shared" si="1"/>
        <v>1.8248693409757974E-2</v>
      </c>
    </row>
    <row r="40" spans="1:3" x14ac:dyDescent="0.25">
      <c r="A40" s="2">
        <v>380</v>
      </c>
      <c r="B40">
        <f t="shared" si="0"/>
        <v>38.735983690112128</v>
      </c>
      <c r="C40">
        <f t="shared" si="1"/>
        <v>1.9630495151522858E-2</v>
      </c>
    </row>
    <row r="41" spans="1:3" x14ac:dyDescent="0.25">
      <c r="A41" s="2">
        <v>400</v>
      </c>
      <c r="B41">
        <f t="shared" si="0"/>
        <v>40.774719673802238</v>
      </c>
      <c r="C41">
        <f t="shared" si="1"/>
        <v>2.1037996913739237E-2</v>
      </c>
    </row>
  </sheetData>
  <pageMargins left="0.7" right="0.7" top="0.75" bottom="0.75" header="0.3" footer="0.3"/>
  <pageSetup orientation="portrait" horizontalDpi="90" verticalDpi="9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PolynomialMP</vt:lpstr>
      <vt:lpstr>Fluage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L.Desrochers, Alexis</dc:creator>
  <cp:lastModifiedBy>L.Desrochers, Alexis</cp:lastModifiedBy>
  <dcterms:created xsi:type="dcterms:W3CDTF">2021-06-02T11:36:40Z</dcterms:created>
  <dcterms:modified xsi:type="dcterms:W3CDTF">2021-06-04T23:58:59Z</dcterms:modified>
</cp:coreProperties>
</file>