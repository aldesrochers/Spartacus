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3204\Projets\spartacus\doc\Material\"/>
    </mc:Choice>
  </mc:AlternateContent>
  <xr:revisionPtr revIDLastSave="0" documentId="13_ncr:1_{8D96EB52-B28B-4E6C-AE10-42357E74BCAA}" xr6:coauthVersionLast="45" xr6:coauthVersionMax="45" xr10:uidLastSave="{00000000-0000-0000-0000-000000000000}"/>
  <bookViews>
    <workbookView xWindow="28680" yWindow="-120" windowWidth="29040" windowHeight="15840" activeTab="1" xr2:uid="{284EAF35-2C3A-44EE-A254-267BE16E4CFD}"/>
  </bookViews>
  <sheets>
    <sheet name="PolynomialMP" sheetId="1" r:id="rId1"/>
    <sheet name="Feuil1" sheetId="3" r:id="rId2"/>
    <sheet name="Fluag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8" i="1" l="1"/>
  <c r="B42" i="1"/>
  <c r="B48" i="1"/>
  <c r="B47" i="1"/>
  <c r="B46" i="1"/>
  <c r="D52" i="1"/>
  <c r="B15" i="2" l="1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1" i="2"/>
  <c r="F52" i="1" l="1"/>
  <c r="G46" i="1"/>
  <c r="A52" i="1"/>
  <c r="B37" i="1"/>
  <c r="C25" i="1"/>
  <c r="C26" i="1"/>
  <c r="C34" i="1"/>
  <c r="B38" i="1" s="1"/>
  <c r="B44" i="1" s="1"/>
  <c r="C24" i="1"/>
  <c r="B27" i="1"/>
  <c r="B28" i="1"/>
  <c r="B34" i="1"/>
  <c r="C16" i="1"/>
  <c r="C17" i="1"/>
  <c r="C18" i="1"/>
  <c r="C19" i="1"/>
  <c r="C15" i="1"/>
  <c r="B20" i="1"/>
  <c r="B25" i="1" s="1"/>
  <c r="C8" i="1"/>
  <c r="C9" i="1"/>
  <c r="C10" i="1"/>
  <c r="C11" i="1"/>
  <c r="C12" i="1"/>
  <c r="C7" i="1"/>
  <c r="B43" i="1" l="1"/>
  <c r="C31" i="1"/>
  <c r="C29" i="1"/>
  <c r="C33" i="1"/>
  <c r="C32" i="1"/>
  <c r="C28" i="1"/>
  <c r="C30" i="1"/>
  <c r="B24" i="1"/>
  <c r="C27" i="1"/>
  <c r="B31" i="1"/>
  <c r="B30" i="1"/>
  <c r="B33" i="1"/>
  <c r="B32" i="1"/>
  <c r="C20" i="1"/>
  <c r="B29" i="1"/>
  <c r="B26" i="1"/>
  <c r="B57" i="1" l="1"/>
  <c r="C57" i="1" s="1"/>
  <c r="B64" i="1"/>
  <c r="C64" i="1" s="1"/>
  <c r="B59" i="1"/>
  <c r="C59" i="1" s="1"/>
  <c r="B63" i="1"/>
  <c r="C63" i="1" s="1"/>
  <c r="D63" i="1" s="1"/>
  <c r="B58" i="1"/>
  <c r="C58" i="1" s="1"/>
  <c r="B56" i="1"/>
  <c r="C56" i="1" s="1"/>
  <c r="B53" i="1"/>
  <c r="C53" i="1" s="1"/>
  <c r="B54" i="1"/>
  <c r="C54" i="1" s="1"/>
  <c r="D54" i="1" s="1"/>
  <c r="B68" i="1"/>
  <c r="C68" i="1" s="1"/>
  <c r="B67" i="1"/>
  <c r="C67" i="1" s="1"/>
  <c r="D67" i="1" s="1"/>
  <c r="B65" i="1"/>
  <c r="C65" i="1" s="1"/>
  <c r="D65" i="1" s="1"/>
  <c r="B66" i="1"/>
  <c r="C66" i="1" s="1"/>
  <c r="D66" i="1" s="1"/>
  <c r="B55" i="1"/>
  <c r="C55" i="1" s="1"/>
  <c r="B61" i="1"/>
  <c r="C61" i="1" s="1"/>
  <c r="B60" i="1"/>
  <c r="C60" i="1" s="1"/>
  <c r="B49" i="1"/>
  <c r="D64" i="1" s="1"/>
  <c r="B62" i="1"/>
  <c r="C62" i="1" s="1"/>
  <c r="G47" i="1" l="1"/>
  <c r="G48" i="1" s="1"/>
  <c r="G52" i="1" s="1"/>
  <c r="I52" i="1"/>
  <c r="D56" i="1"/>
  <c r="D62" i="1"/>
  <c r="D61" i="1"/>
  <c r="D57" i="1"/>
  <c r="D53" i="1"/>
  <c r="D60" i="1"/>
  <c r="D58" i="1"/>
  <c r="D59" i="1"/>
  <c r="D55" i="1"/>
  <c r="G61" i="1" l="1"/>
  <c r="H61" i="1" s="1"/>
  <c r="G73" i="1"/>
  <c r="H73" i="1" s="1"/>
  <c r="G68" i="1"/>
  <c r="H68" i="1" s="1"/>
  <c r="G57" i="1"/>
  <c r="H57" i="1" s="1"/>
  <c r="G70" i="1"/>
  <c r="H70" i="1" s="1"/>
  <c r="G59" i="1"/>
  <c r="H59" i="1" s="1"/>
  <c r="G62" i="1"/>
  <c r="H62" i="1" s="1"/>
  <c r="G74" i="1"/>
  <c r="H74" i="1" s="1"/>
  <c r="G63" i="1"/>
  <c r="H63" i="1" s="1"/>
  <c r="I63" i="1" s="1"/>
  <c r="G75" i="1"/>
  <c r="H75" i="1" s="1"/>
  <c r="I75" i="1" s="1"/>
  <c r="G64" i="1"/>
  <c r="H64" i="1" s="1"/>
  <c r="G76" i="1"/>
  <c r="H76" i="1" s="1"/>
  <c r="I76" i="1" s="1"/>
  <c r="G53" i="1"/>
  <c r="H53" i="1" s="1"/>
  <c r="G65" i="1"/>
  <c r="H65" i="1" s="1"/>
  <c r="G77" i="1"/>
  <c r="H77" i="1" s="1"/>
  <c r="G54" i="1"/>
  <c r="H54" i="1" s="1"/>
  <c r="G66" i="1"/>
  <c r="H66" i="1" s="1"/>
  <c r="H52" i="1"/>
  <c r="G55" i="1"/>
  <c r="H55" i="1" s="1"/>
  <c r="I55" i="1" s="1"/>
  <c r="G67" i="1"/>
  <c r="H67" i="1" s="1"/>
  <c r="I67" i="1" s="1"/>
  <c r="G56" i="1"/>
  <c r="H56" i="1" s="1"/>
  <c r="I56" i="1" s="1"/>
  <c r="G69" i="1"/>
  <c r="H69" i="1" s="1"/>
  <c r="I69" i="1" s="1"/>
  <c r="G58" i="1"/>
  <c r="H58" i="1" s="1"/>
  <c r="I58" i="1" s="1"/>
  <c r="G71" i="1"/>
  <c r="H71" i="1" s="1"/>
  <c r="I71" i="1" s="1"/>
  <c r="G60" i="1"/>
  <c r="H60" i="1" s="1"/>
  <c r="G72" i="1"/>
  <c r="H72" i="1" s="1"/>
  <c r="G49" i="1"/>
  <c r="I54" i="1" l="1"/>
  <c r="I64" i="1"/>
  <c r="I74" i="1"/>
  <c r="I62" i="1"/>
  <c r="I59" i="1"/>
  <c r="I66" i="1"/>
  <c r="I72" i="1"/>
  <c r="I70" i="1"/>
  <c r="I57" i="1"/>
  <c r="I77" i="1"/>
  <c r="I68" i="1"/>
  <c r="I65" i="1"/>
  <c r="I73" i="1"/>
  <c r="I60" i="1"/>
  <c r="I53" i="1"/>
  <c r="I61" i="1"/>
</calcChain>
</file>

<file path=xl/sharedStrings.xml><?xml version="1.0" encoding="utf-8"?>
<sst xmlns="http://schemas.openxmlformats.org/spreadsheetml/2006/main" count="65" uniqueCount="52">
  <si>
    <t>E</t>
  </si>
  <si>
    <t>b</t>
  </si>
  <si>
    <t>Définition de la courbe monotonique</t>
  </si>
  <si>
    <t>x</t>
  </si>
  <si>
    <t>f</t>
  </si>
  <si>
    <t>F(x)</t>
  </si>
  <si>
    <t>A0</t>
  </si>
  <si>
    <t>A1</t>
  </si>
  <si>
    <t>A2</t>
  </si>
  <si>
    <t>A3</t>
  </si>
  <si>
    <t>A4</t>
  </si>
  <si>
    <t>A5</t>
  </si>
  <si>
    <t>Coef / E</t>
  </si>
  <si>
    <t>Et</t>
  </si>
  <si>
    <t>Eps</t>
  </si>
  <si>
    <t>Sig(Eps)</t>
  </si>
  <si>
    <t>R0</t>
  </si>
  <si>
    <t>a1</t>
  </si>
  <si>
    <t>a2</t>
  </si>
  <si>
    <t>Sig</t>
  </si>
  <si>
    <t>Eps*</t>
  </si>
  <si>
    <t>EpsR</t>
  </si>
  <si>
    <t>SigR</t>
  </si>
  <si>
    <t>E(Eps)</t>
  </si>
  <si>
    <t>EpsY</t>
  </si>
  <si>
    <t>SigY</t>
  </si>
  <si>
    <t>Eps0</t>
  </si>
  <si>
    <t>Sig*</t>
  </si>
  <si>
    <t>Sig0</t>
  </si>
  <si>
    <t>K</t>
  </si>
  <si>
    <t>alpha</t>
  </si>
  <si>
    <t>phi</t>
  </si>
  <si>
    <t>nu</t>
  </si>
  <si>
    <t>Expression des courbes de fluage</t>
  </si>
  <si>
    <t>Réf.: CIGRÉ GT 22,05 - Permanent elongation of conductors. Predictor equation and evaluation methods.</t>
  </si>
  <si>
    <t>Alexis L. Desrochers, ing. (#5032927)</t>
  </si>
  <si>
    <t>1. COEFFICIENTS DE LA COURBE DE FLUAGE</t>
  </si>
  <si>
    <t>À déterminer pour chaque conducteur, selon les résults d'essais.</t>
  </si>
  <si>
    <t>t</t>
  </si>
  <si>
    <t>Temp</t>
  </si>
  <si>
    <t>h</t>
  </si>
  <si>
    <t>deg</t>
  </si>
  <si>
    <t>Temps de fluage</t>
  </si>
  <si>
    <t>Température de fluage</t>
  </si>
  <si>
    <t>kg/mm2</t>
  </si>
  <si>
    <t>mm/km</t>
  </si>
  <si>
    <t>Mpa</t>
  </si>
  <si>
    <t>C3</t>
  </si>
  <si>
    <t>C2</t>
  </si>
  <si>
    <t>C1</t>
  </si>
  <si>
    <t>C0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</si>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</sst>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PolynomialMP!$C$6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intercept val="0"/>
            <c:dispRSqr val="0"/>
            <c:dispEq val="1"/>
            <c:trendlineLbl>
              <c:layout>
                <c:manualLayout>
                  <c:x val="5.3037383377648753E-2"/>
                  <c:y val="-8.8584578796846877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PolynomialMP!$A$7:$A$12</c:f>
              <c:numCache>
                <c:formatCode>General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</c:numCache>
            </c:numRef>
          </c:xVal>
          <c:yVal>
            <c:numRef>
              <c:f>PolynomialMP!$C$7:$C$12</c:f>
              <c:numCache>
                <c:formatCode>0.00E+00</c:formatCode>
                <c:ptCount val="6"/>
                <c:pt idx="0">
                  <c:v>0</c:v>
                </c:pt>
                <c:pt idx="1">
                  <c:v>190000000</c:v>
                </c:pt>
                <c:pt idx="2">
                  <c:v>356000000</c:v>
                </c:pt>
                <c:pt idx="3">
                  <c:v>491999999.99999994</c:v>
                </c:pt>
                <c:pt idx="4">
                  <c:v>584000000</c:v>
                </c:pt>
                <c:pt idx="5">
                  <c:v>620000000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0-472C-90B9-5EC0CA0D8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788048"/>
        <c:axId val="739798216"/>
      </c:scatterChart>
      <c:valAx>
        <c:axId val="73978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9798216"/>
        <c:crosses val="autoZero"/>
        <c:crossBetween val="midCat"/>
      </c:valAx>
      <c:valAx>
        <c:axId val="73979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978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PolynomialMP!$A$24:$A$34</c:f>
              <c:numCache>
                <c:formatCode>General</c:formatCod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xVal>
          <c:yVal>
            <c:numRef>
              <c:f>PolynomialMP!$B$24:$B$34</c:f>
              <c:numCache>
                <c:formatCode>0.00E+00</c:formatCode>
                <c:ptCount val="11"/>
                <c:pt idx="0">
                  <c:v>0</c:v>
                </c:pt>
                <c:pt idx="1">
                  <c:v>98210937.797000006</c:v>
                </c:pt>
                <c:pt idx="2">
                  <c:v>190000001.02399999</c:v>
                </c:pt>
                <c:pt idx="3">
                  <c:v>276070314.41100001</c:v>
                </c:pt>
                <c:pt idx="4">
                  <c:v>356000002.68800002</c:v>
                </c:pt>
                <c:pt idx="5">
                  <c:v>428554690.625</c:v>
                </c:pt>
                <c:pt idx="6">
                  <c:v>492000003.07200003</c:v>
                </c:pt>
                <c:pt idx="7">
                  <c:v>544414064.99900007</c:v>
                </c:pt>
                <c:pt idx="8">
                  <c:v>584000001.53600001</c:v>
                </c:pt>
                <c:pt idx="9">
                  <c:v>609398438.01300001</c:v>
                </c:pt>
                <c:pt idx="10">
                  <c:v>619999999.99999976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E-4906-8EFF-E100E0BD4C3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PolynomialMP!$A$52:$A$68</c:f>
              <c:numCache>
                <c:formatCode>General</c:formatCode>
                <c:ptCount val="17"/>
                <c:pt idx="0">
                  <c:v>7.0000000000000007E-2</c:v>
                </c:pt>
                <c:pt idx="1">
                  <c:v>0.05</c:v>
                </c:pt>
                <c:pt idx="2">
                  <c:v>0.04</c:v>
                </c:pt>
                <c:pt idx="3">
                  <c:v>0.03</c:v>
                </c:pt>
                <c:pt idx="4">
                  <c:v>0.02</c:v>
                </c:pt>
                <c:pt idx="5">
                  <c:v>0.01</c:v>
                </c:pt>
                <c:pt idx="6">
                  <c:v>0</c:v>
                </c:pt>
                <c:pt idx="7">
                  <c:v>-0.01</c:v>
                </c:pt>
                <c:pt idx="8">
                  <c:v>-0.02</c:v>
                </c:pt>
                <c:pt idx="9">
                  <c:v>-0.03</c:v>
                </c:pt>
                <c:pt idx="10">
                  <c:v>-0.04</c:v>
                </c:pt>
                <c:pt idx="11">
                  <c:v>-0.05</c:v>
                </c:pt>
                <c:pt idx="12">
                  <c:v>-0.06</c:v>
                </c:pt>
                <c:pt idx="13">
                  <c:v>-7.0000000000000007E-2</c:v>
                </c:pt>
                <c:pt idx="14">
                  <c:v>-0.08</c:v>
                </c:pt>
                <c:pt idx="15">
                  <c:v>-0.09</c:v>
                </c:pt>
                <c:pt idx="16">
                  <c:v>-0.1</c:v>
                </c:pt>
              </c:numCache>
            </c:numRef>
          </c:xVal>
          <c:yVal>
            <c:numRef>
              <c:f>PolynomialMP!$D$52:$D$68</c:f>
              <c:numCache>
                <c:formatCode>0.00E+00</c:formatCode>
                <c:ptCount val="17"/>
                <c:pt idx="0">
                  <c:v>544414064.99900007</c:v>
                </c:pt>
                <c:pt idx="1">
                  <c:v>344414065.52125406</c:v>
                </c:pt>
                <c:pt idx="2">
                  <c:v>244414110.17265934</c:v>
                </c:pt>
                <c:pt idx="3">
                  <c:v>144415134.55947912</c:v>
                </c:pt>
                <c:pt idx="4">
                  <c:v>44426514.79971379</c:v>
                </c:pt>
                <c:pt idx="5">
                  <c:v>-55493497.644596696</c:v>
                </c:pt>
                <c:pt idx="6">
                  <c:v>-155083690.81634748</c:v>
                </c:pt>
                <c:pt idx="7">
                  <c:v>-253427811.78019178</c:v>
                </c:pt>
                <c:pt idx="8">
                  <c:v>-347952101.5870856</c:v>
                </c:pt>
                <c:pt idx="9">
                  <c:v>-433127855.8412925</c:v>
                </c:pt>
                <c:pt idx="10">
                  <c:v>-501135649.27375972</c:v>
                </c:pt>
                <c:pt idx="11">
                  <c:v>-547119774.31966186</c:v>
                </c:pt>
                <c:pt idx="12">
                  <c:v>-573665999.10817599</c:v>
                </c:pt>
                <c:pt idx="13">
                  <c:v>-587525852.99485302</c:v>
                </c:pt>
                <c:pt idx="14">
                  <c:v>-594490993.7397871</c:v>
                </c:pt>
                <c:pt idx="15">
                  <c:v>-597998223.57282162</c:v>
                </c:pt>
                <c:pt idx="16">
                  <c:v>-599802284.29206276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FE-4906-8EFF-E100E0BD4C3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PolynomialMP!$F$52:$F$77</c:f>
              <c:numCache>
                <c:formatCode>General</c:formatCode>
                <c:ptCount val="26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</c:numCache>
            </c:numRef>
          </c:xVal>
          <c:yVal>
            <c:numRef>
              <c:f>PolynomialMP!$I$52:$I$77</c:f>
              <c:numCache>
                <c:formatCode>0.00E+00</c:formatCode>
                <c:ptCount val="26"/>
                <c:pt idx="0">
                  <c:v>-599802284.29206276</c:v>
                </c:pt>
                <c:pt idx="1">
                  <c:v>-499802284.29222757</c:v>
                </c:pt>
                <c:pt idx="2">
                  <c:v>-399802284.62967199</c:v>
                </c:pt>
                <c:pt idx="3">
                  <c:v>-299802313.49442136</c:v>
                </c:pt>
                <c:pt idx="4">
                  <c:v>-199802975.70898545</c:v>
                </c:pt>
                <c:pt idx="5">
                  <c:v>-99810332.78696847</c:v>
                </c:pt>
                <c:pt idx="6">
                  <c:v>137943.1088937521</c:v>
                </c:pt>
                <c:pt idx="7">
                  <c:v>99872616.796319842</c:v>
                </c:pt>
                <c:pt idx="8">
                  <c:v>198795748.54443049</c:v>
                </c:pt>
                <c:pt idx="9">
                  <c:v>295186915.33786786</c:v>
                </c:pt>
                <c:pt idx="10">
                  <c:v>385094826.70902002</c:v>
                </c:pt>
                <c:pt idx="11">
                  <c:v>461951668.29158235</c:v>
                </c:pt>
                <c:pt idx="12">
                  <c:v>519515128.51541018</c:v>
                </c:pt>
                <c:pt idx="13">
                  <c:v>557008967.30162811</c:v>
                </c:pt>
                <c:pt idx="14">
                  <c:v>579362382.05076861</c:v>
                </c:pt>
                <c:pt idx="15">
                  <c:v>592611117.94308758</c:v>
                </c:pt>
                <c:pt idx="16">
                  <c:v>601010307.74188113</c:v>
                </c:pt>
                <c:pt idx="17">
                  <c:v>606940855.45854115</c:v>
                </c:pt>
                <c:pt idx="18">
                  <c:v>611618734.88675141</c:v>
                </c:pt>
                <c:pt idx="19">
                  <c:v>615650333.62493801</c:v>
                </c:pt>
                <c:pt idx="20">
                  <c:v>619340205.67682481</c:v>
                </c:pt>
                <c:pt idx="21">
                  <c:v>622844452.17179632</c:v>
                </c:pt>
                <c:pt idx="22">
                  <c:v>626245129.1861062</c:v>
                </c:pt>
                <c:pt idx="23">
                  <c:v>629586522.61587477</c:v>
                </c:pt>
                <c:pt idx="24">
                  <c:v>632893158.29655313</c:v>
                </c:pt>
                <c:pt idx="25">
                  <c:v>636178956.03475118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FE-4906-8EFF-E100E0BD4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29496"/>
        <c:axId val="800729168"/>
      </c:scatterChart>
      <c:valAx>
        <c:axId val="80072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729168"/>
        <c:crosses val="autoZero"/>
        <c:crossBetween val="midCat"/>
      </c:valAx>
      <c:valAx>
        <c:axId val="8007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729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Feuil1!$A$2:$A$62</c:f>
              <c:numCache>
                <c:formatCode>General</c:formatCode>
                <c:ptCount val="61"/>
                <c:pt idx="0">
                  <c:v>-0.01</c:v>
                </c:pt>
                <c:pt idx="1">
                  <c:v>-0.02</c:v>
                </c:pt>
                <c:pt idx="2">
                  <c:v>-0.03</c:v>
                </c:pt>
                <c:pt idx="3">
                  <c:v>-0.04</c:v>
                </c:pt>
                <c:pt idx="4">
                  <c:v>-0.05</c:v>
                </c:pt>
                <c:pt idx="5">
                  <c:v>-0.06</c:v>
                </c:pt>
                <c:pt idx="6">
                  <c:v>-7.0000000000000007E-2</c:v>
                </c:pt>
                <c:pt idx="7">
                  <c:v>-0.05</c:v>
                </c:pt>
                <c:pt idx="8">
                  <c:v>-0.03</c:v>
                </c:pt>
                <c:pt idx="9">
                  <c:v>-0.01</c:v>
                </c:pt>
                <c:pt idx="10">
                  <c:v>0.01</c:v>
                </c:pt>
                <c:pt idx="11">
                  <c:v>0.03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0.1</c:v>
                </c:pt>
                <c:pt idx="16">
                  <c:v>0.08</c:v>
                </c:pt>
                <c:pt idx="17">
                  <c:v>0.06</c:v>
                </c:pt>
                <c:pt idx="18">
                  <c:v>0.04</c:v>
                </c:pt>
                <c:pt idx="19">
                  <c:v>0.02</c:v>
                </c:pt>
                <c:pt idx="20">
                  <c:v>0</c:v>
                </c:pt>
                <c:pt idx="21">
                  <c:v>-0.02</c:v>
                </c:pt>
                <c:pt idx="22">
                  <c:v>-0.04</c:v>
                </c:pt>
                <c:pt idx="23">
                  <c:v>-0.06</c:v>
                </c:pt>
                <c:pt idx="24">
                  <c:v>-0.08</c:v>
                </c:pt>
                <c:pt idx="25">
                  <c:v>-0.1</c:v>
                </c:pt>
                <c:pt idx="26">
                  <c:v>-0.08</c:v>
                </c:pt>
                <c:pt idx="27">
                  <c:v>-0.06</c:v>
                </c:pt>
                <c:pt idx="28">
                  <c:v>-0.04</c:v>
                </c:pt>
                <c:pt idx="29">
                  <c:v>-0.02</c:v>
                </c:pt>
                <c:pt idx="30">
                  <c:v>0</c:v>
                </c:pt>
                <c:pt idx="31">
                  <c:v>0.02</c:v>
                </c:pt>
                <c:pt idx="32">
                  <c:v>0</c:v>
                </c:pt>
                <c:pt idx="33">
                  <c:v>-0.02</c:v>
                </c:pt>
                <c:pt idx="34">
                  <c:v>-0.04</c:v>
                </c:pt>
                <c:pt idx="35">
                  <c:v>-0.06</c:v>
                </c:pt>
                <c:pt idx="36">
                  <c:v>-0.08</c:v>
                </c:pt>
                <c:pt idx="37">
                  <c:v>-0.1</c:v>
                </c:pt>
                <c:pt idx="38">
                  <c:v>-0.12</c:v>
                </c:pt>
                <c:pt idx="39">
                  <c:v>-0.14000000000000001</c:v>
                </c:pt>
              </c:numCache>
            </c:numRef>
          </c:xVal>
          <c:yVal>
            <c:numRef>
              <c:f>Feuil1!$B$2:$B$62</c:f>
              <c:numCache>
                <c:formatCode>0.00E+00</c:formatCode>
                <c:ptCount val="61"/>
                <c:pt idx="0">
                  <c:v>-102000000</c:v>
                </c:pt>
                <c:pt idx="1">
                  <c:v>-200004000</c:v>
                </c:pt>
                <c:pt idx="2">
                  <c:v>-200106000</c:v>
                </c:pt>
                <c:pt idx="3">
                  <c:v>-200208000</c:v>
                </c:pt>
                <c:pt idx="4">
                  <c:v>-200310000</c:v>
                </c:pt>
                <c:pt idx="5">
                  <c:v>-200412000</c:v>
                </c:pt>
                <c:pt idx="6">
                  <c:v>-200514000</c:v>
                </c:pt>
                <c:pt idx="7">
                  <c:v>-514021</c:v>
                </c:pt>
                <c:pt idx="8">
                  <c:v>199444000</c:v>
                </c:pt>
                <c:pt idx="9">
                  <c:v>395964000</c:v>
                </c:pt>
                <c:pt idx="10">
                  <c:v>543647000</c:v>
                </c:pt>
                <c:pt idx="11">
                  <c:v>590580000</c:v>
                </c:pt>
                <c:pt idx="12">
                  <c:v>602817000</c:v>
                </c:pt>
                <c:pt idx="13">
                  <c:v>610145000</c:v>
                </c:pt>
                <c:pt idx="14">
                  <c:v>613472000</c:v>
                </c:pt>
                <c:pt idx="15">
                  <c:v>619963000</c:v>
                </c:pt>
                <c:pt idx="16">
                  <c:v>419963000</c:v>
                </c:pt>
                <c:pt idx="17">
                  <c:v>219993000</c:v>
                </c:pt>
                <c:pt idx="18">
                  <c:v>22471000</c:v>
                </c:pt>
                <c:pt idx="19">
                  <c:v>-136433000</c:v>
                </c:pt>
                <c:pt idx="20">
                  <c:v>-195286000</c:v>
                </c:pt>
                <c:pt idx="21">
                  <c:v>-210058000</c:v>
                </c:pt>
                <c:pt idx="22">
                  <c:v>-217815000</c:v>
                </c:pt>
                <c:pt idx="23">
                  <c:v>-224491000</c:v>
                </c:pt>
                <c:pt idx="24">
                  <c:v>-230959000</c:v>
                </c:pt>
                <c:pt idx="25">
                  <c:v>-237379000</c:v>
                </c:pt>
                <c:pt idx="26">
                  <c:v>-37378900</c:v>
                </c:pt>
                <c:pt idx="27">
                  <c:v>162591000</c:v>
                </c:pt>
                <c:pt idx="28">
                  <c:v>360114000</c:v>
                </c:pt>
                <c:pt idx="29">
                  <c:v>519028000</c:v>
                </c:pt>
                <c:pt idx="30">
                  <c:v>577893000</c:v>
                </c:pt>
                <c:pt idx="31">
                  <c:v>592668000</c:v>
                </c:pt>
                <c:pt idx="32">
                  <c:v>392668000</c:v>
                </c:pt>
                <c:pt idx="33">
                  <c:v>192709000</c:v>
                </c:pt>
                <c:pt idx="34">
                  <c:v>-3879530</c:v>
                </c:pt>
                <c:pt idx="35">
                  <c:v>-152270000</c:v>
                </c:pt>
                <c:pt idx="36">
                  <c:v>-199853000</c:v>
                </c:pt>
                <c:pt idx="37">
                  <c:v>-212217000</c:v>
                </c:pt>
                <c:pt idx="38">
                  <c:v>-219566000</c:v>
                </c:pt>
                <c:pt idx="39">
                  <c:v>-226158000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D-4115-90C4-9B204C9A92F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Feuil1!$D$2:$D$12</c:f>
              <c:numCache>
                <c:formatCode>General</c:formatCod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xVal>
          <c:yVal>
            <c:numRef>
              <c:f>Feuil1!$E$2:$E$12</c:f>
              <c:numCache>
                <c:formatCode>General</c:formatCode>
                <c:ptCount val="11"/>
                <c:pt idx="0">
                  <c:v>0</c:v>
                </c:pt>
                <c:pt idx="1">
                  <c:v>98210937.797000006</c:v>
                </c:pt>
                <c:pt idx="2">
                  <c:v>190000001.02399999</c:v>
                </c:pt>
                <c:pt idx="3">
                  <c:v>276070314.41100001</c:v>
                </c:pt>
                <c:pt idx="4">
                  <c:v>356000002.68800002</c:v>
                </c:pt>
                <c:pt idx="5">
                  <c:v>428554690.625</c:v>
                </c:pt>
                <c:pt idx="6">
                  <c:v>492000003.07200003</c:v>
                </c:pt>
                <c:pt idx="7">
                  <c:v>544414064.99900007</c:v>
                </c:pt>
                <c:pt idx="8">
                  <c:v>584000001.53600001</c:v>
                </c:pt>
                <c:pt idx="9">
                  <c:v>609398438.01300001</c:v>
                </c:pt>
                <c:pt idx="10">
                  <c:v>619999999.99999976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5D-4115-90C4-9B204C9A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295856"/>
        <c:axId val="665809416"/>
      </c:scatterChart>
      <c:valAx>
        <c:axId val="66529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809416"/>
        <c:crosses val="autoZero"/>
        <c:crossBetween val="midCat"/>
      </c:valAx>
      <c:valAx>
        <c:axId val="6658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29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intercept val="0"/>
            <c:dispRSqr val="0"/>
            <c:dispEq val="1"/>
            <c:trendlineLbl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Fluage!$C$21:$C$41</c:f>
              <c:numCache>
                <c:formatCode>General</c:formatCode>
                <c:ptCount val="21"/>
                <c:pt idx="0">
                  <c:v>0</c:v>
                </c:pt>
                <c:pt idx="1">
                  <c:v>3.6864970687408485E-4</c:v>
                </c:pt>
                <c:pt idx="2">
                  <c:v>9.3973280330899146E-4</c:v>
                </c:pt>
                <c:pt idx="3">
                  <c:v>1.6245294425338622E-3</c:v>
                </c:pt>
                <c:pt idx="4">
                  <c:v>2.395492862595995E-3</c:v>
                </c:pt>
                <c:pt idx="5">
                  <c:v>3.2376015460397053E-3</c:v>
                </c:pt>
                <c:pt idx="6">
                  <c:v>4.1411225307491396E-3</c:v>
                </c:pt>
                <c:pt idx="7">
                  <c:v>5.0991319101413709E-3</c:v>
                </c:pt>
                <c:pt idx="8">
                  <c:v>6.1064017713783275E-3</c:v>
                </c:pt>
                <c:pt idx="9">
                  <c:v>7.1588173283446662E-3</c:v>
                </c:pt>
                <c:pt idx="10">
                  <c:v>8.2530389150603581E-3</c:v>
                </c:pt>
                <c:pt idx="11">
                  <c:v>9.3862910758750404E-3</c:v>
                </c:pt>
                <c:pt idx="12">
                  <c:v>1.0556223461195113E-2</c:v>
                </c:pt>
                <c:pt idx="13">
                  <c:v>1.1760815001207472E-2</c:v>
                </c:pt>
                <c:pt idx="14">
                  <c:v>1.299830553234691E-2</c:v>
                </c:pt>
                <c:pt idx="15">
                  <c:v>1.4267145576576037E-2</c:v>
                </c:pt>
                <c:pt idx="16">
                  <c:v>1.5565958544782831E-2</c:v>
                </c:pt>
                <c:pt idx="17">
                  <c:v>1.6893511694272442E-2</c:v>
                </c:pt>
                <c:pt idx="18">
                  <c:v>1.8248693409757974E-2</c:v>
                </c:pt>
                <c:pt idx="19">
                  <c:v>1.9630495151522858E-2</c:v>
                </c:pt>
                <c:pt idx="20">
                  <c:v>2.1037996913739237E-2</c:v>
                </c:pt>
              </c:numCache>
            </c:numRef>
          </c:xVal>
          <c:yVal>
            <c:numRef>
              <c:f>Fluage!$A$21:$A$41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D-42D6-8E34-6141B0C11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470856"/>
        <c:axId val="731471184"/>
      </c:scatterChart>
      <c:valAx>
        <c:axId val="73147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471184"/>
        <c:crosses val="autoZero"/>
        <c:crossBetween val="midCat"/>
      </c:valAx>
      <c:valAx>
        <c:axId val="7314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47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695324</xdr:colOff>
      <xdr:row>3</xdr:row>
      <xdr:rowOff>61912</xdr:rowOff>
    </xdr:from>
    <xdr:to>
      <xdr:col>13</xdr:col>
      <xdr:colOff>438149</xdr:colOff>
      <xdr:row>18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A8A888-0063-498C-97B7-117E57AD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128586</xdr:colOff>
      <xdr:row>21</xdr:row>
      <xdr:rowOff>157161</xdr:rowOff>
    </xdr:from>
    <xdr:to>
      <xdr:col>17</xdr:col>
      <xdr:colOff>247649</xdr:colOff>
      <xdr:row>43</xdr:row>
      <xdr:rowOff>104774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006354F-8332-479C-9CAC-0E1319BCD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388882</xdr:colOff>
      <xdr:row>3</xdr:row>
      <xdr:rowOff>153386</xdr:rowOff>
    </xdr:from>
    <xdr:to>
      <xdr:col>13</xdr:col>
      <xdr:colOff>328447</xdr:colOff>
      <xdr:row>21</xdr:row>
      <xdr:rowOff>177362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6D39A39-C219-41B4-93B9-922B8B6F1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449871</xdr:colOff>
      <xdr:row>18</xdr:row>
      <xdr:rowOff>49456</xdr:rowOff>
    </xdr:from>
    <xdr:to>
      <xdr:col>13</xdr:col>
      <xdr:colOff>307730</xdr:colOff>
      <xdr:row>34</xdr:row>
      <xdr:rowOff>146538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0F64B5-D7DB-432C-A5A2-8F49F545E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CF7A-ED89-4EB3-969A-7B76054774FF}">
  <dimension ref="A1:I77"/>
  <sheetViews>
    <sheetView topLeftCell="A22" workbookViewId="0">
      <selection activeCell="D63" sqref="D63"/>
    </sheetView>
  </sheetViews>
  <sheetFormatPr baseColWidth="10" defaultRowHeight="15" x14ac:dyDescent="0.25"/>
  <cols>
    <col min="2" max="2" width="11.42578125" customWidth="1"/>
  </cols>
  <sheetData>
    <row r="1" spans="1:3" x14ac:dyDescent="0.25">
      <c r="A1" t="s">
        <v>0</v>
      </c>
      <c r="B1" s="1">
        <v>10000000000</v>
      </c>
    </row>
    <row r="4" spans="1:3" x14ac:dyDescent="0.25">
      <c r="A4" t="s">
        <v>2</v>
      </c>
    </row>
    <row r="6" spans="1:3" x14ac:dyDescent="0.25">
      <c r="A6" t="s">
        <v>3</v>
      </c>
      <c r="B6" t="s">
        <v>4</v>
      </c>
      <c r="C6" t="s">
        <v>5</v>
      </c>
    </row>
    <row r="7" spans="1:3" x14ac:dyDescent="0.25">
      <c r="A7" s="2">
        <v>0</v>
      </c>
      <c r="B7" s="2">
        <v>1</v>
      </c>
      <c r="C7" s="1">
        <f>B7*A7*$B$1</f>
        <v>0</v>
      </c>
    </row>
    <row r="8" spans="1:3" x14ac:dyDescent="0.25">
      <c r="A8" s="2">
        <v>0.02</v>
      </c>
      <c r="B8" s="2">
        <v>0.95</v>
      </c>
      <c r="C8" s="1">
        <f t="shared" ref="C8:C12" si="0">B8*A8*$B$1</f>
        <v>190000000</v>
      </c>
    </row>
    <row r="9" spans="1:3" x14ac:dyDescent="0.25">
      <c r="A9" s="2">
        <v>0.04</v>
      </c>
      <c r="B9" s="2">
        <v>0.89</v>
      </c>
      <c r="C9" s="1">
        <f t="shared" si="0"/>
        <v>356000000</v>
      </c>
    </row>
    <row r="10" spans="1:3" x14ac:dyDescent="0.25">
      <c r="A10" s="2">
        <v>0.06</v>
      </c>
      <c r="B10" s="2">
        <v>0.82</v>
      </c>
      <c r="C10" s="1">
        <f t="shared" si="0"/>
        <v>491999999.99999994</v>
      </c>
    </row>
    <row r="11" spans="1:3" x14ac:dyDescent="0.25">
      <c r="A11" s="2">
        <v>0.08</v>
      </c>
      <c r="B11" s="2">
        <v>0.73</v>
      </c>
      <c r="C11" s="1">
        <f t="shared" si="0"/>
        <v>584000000</v>
      </c>
    </row>
    <row r="12" spans="1:3" x14ac:dyDescent="0.25">
      <c r="A12" s="2">
        <v>0.1</v>
      </c>
      <c r="B12" s="2">
        <v>0.62</v>
      </c>
      <c r="C12" s="1">
        <f t="shared" si="0"/>
        <v>620000000</v>
      </c>
    </row>
    <row r="14" spans="1:3" x14ac:dyDescent="0.25">
      <c r="C14" t="s">
        <v>12</v>
      </c>
    </row>
    <row r="15" spans="1:3" x14ac:dyDescent="0.25">
      <c r="A15" t="s">
        <v>6</v>
      </c>
      <c r="B15" s="3">
        <v>0</v>
      </c>
      <c r="C15" s="1">
        <f>B15/$B$1</f>
        <v>0</v>
      </c>
    </row>
    <row r="16" spans="1:3" x14ac:dyDescent="0.25">
      <c r="A16" t="s">
        <v>7</v>
      </c>
      <c r="B16" s="3">
        <v>10200000000</v>
      </c>
      <c r="C16" s="1">
        <f t="shared" ref="C16:C20" si="1">B16/$B$1</f>
        <v>1.02</v>
      </c>
    </row>
    <row r="17" spans="1:3" x14ac:dyDescent="0.25">
      <c r="A17" t="s">
        <v>8</v>
      </c>
      <c r="B17" s="3">
        <v>-42083330000</v>
      </c>
      <c r="C17" s="1">
        <f t="shared" si="1"/>
        <v>-4.2083329999999997</v>
      </c>
    </row>
    <row r="18" spans="1:3" x14ac:dyDescent="0.25">
      <c r="A18" t="s">
        <v>9</v>
      </c>
      <c r="B18" s="3">
        <v>489583300000</v>
      </c>
      <c r="C18" s="1">
        <f t="shared" si="1"/>
        <v>48.958329999999997</v>
      </c>
    </row>
    <row r="19" spans="1:3" x14ac:dyDescent="0.25">
      <c r="A19" t="s">
        <v>10</v>
      </c>
      <c r="B19" s="3">
        <v>-7291667000000</v>
      </c>
      <c r="C19" s="1">
        <f t="shared" si="1"/>
        <v>-729.16669999999999</v>
      </c>
    </row>
    <row r="20" spans="1:3" x14ac:dyDescent="0.25">
      <c r="A20" t="s">
        <v>11</v>
      </c>
      <c r="B20" s="3">
        <f>26041670000000</f>
        <v>26041670000000</v>
      </c>
      <c r="C20" s="1">
        <f t="shared" si="1"/>
        <v>2604.1669999999999</v>
      </c>
    </row>
    <row r="23" spans="1:3" x14ac:dyDescent="0.25">
      <c r="A23" s="2" t="s">
        <v>14</v>
      </c>
      <c r="B23" s="2" t="s">
        <v>15</v>
      </c>
      <c r="C23" s="2" t="s">
        <v>23</v>
      </c>
    </row>
    <row r="24" spans="1:3" x14ac:dyDescent="0.25">
      <c r="A24" s="2">
        <v>0</v>
      </c>
      <c r="B24" s="3">
        <f>$B$20*A24^5+$B$19*A24^4+$B$18*A24^3+$B$17*A24^2</f>
        <v>0</v>
      </c>
      <c r="C24" s="1">
        <f>5*$B$20*A24^4+4*$B$19*A24^3+3*$B$18*A24^2+2*$B$17*A24+$B$16</f>
        <v>10200000000</v>
      </c>
    </row>
    <row r="25" spans="1:3" x14ac:dyDescent="0.25">
      <c r="A25" s="2">
        <v>0.01</v>
      </c>
      <c r="B25" s="3">
        <f t="shared" ref="B25:B34" si="2">$B$20*A25^5+$B$19*A25^4+$B$18*A25^3+$B$17*A25^2+$B$16*A25+$B$15</f>
        <v>98210937.797000006</v>
      </c>
      <c r="C25" s="1">
        <f t="shared" ref="C25:C34" si="3">5*$B$20*A25^4+4*$B$19*A25^3+3*$B$18*A25^2+2*$B$17*A25+$B$16</f>
        <v>9477343805.5</v>
      </c>
    </row>
    <row r="26" spans="1:3" x14ac:dyDescent="0.25">
      <c r="A26" s="2">
        <v>0.02</v>
      </c>
      <c r="B26" s="3">
        <f t="shared" si="2"/>
        <v>190000001.02399999</v>
      </c>
      <c r="C26" s="1">
        <f t="shared" si="3"/>
        <v>8891666752</v>
      </c>
    </row>
    <row r="27" spans="1:3" x14ac:dyDescent="0.25">
      <c r="A27" s="2">
        <v>0.03</v>
      </c>
      <c r="B27" s="3">
        <f t="shared" si="2"/>
        <v>276070314.41100001</v>
      </c>
      <c r="C27" s="1">
        <f t="shared" si="3"/>
        <v>8314843837.5</v>
      </c>
    </row>
    <row r="28" spans="1:3" x14ac:dyDescent="0.25">
      <c r="A28" s="2">
        <v>0.04</v>
      </c>
      <c r="B28" s="3">
        <f t="shared" si="2"/>
        <v>356000002.68800002</v>
      </c>
      <c r="C28" s="1">
        <f t="shared" si="3"/>
        <v>7650000064</v>
      </c>
    </row>
    <row r="29" spans="1:3" x14ac:dyDescent="0.25">
      <c r="A29" s="2">
        <v>0.05</v>
      </c>
      <c r="B29" s="3">
        <f t="shared" si="2"/>
        <v>428554690.625</v>
      </c>
      <c r="C29" s="1">
        <f t="shared" si="3"/>
        <v>6831510437.5</v>
      </c>
    </row>
    <row r="30" spans="1:3" x14ac:dyDescent="0.25">
      <c r="A30" s="2">
        <v>0.06</v>
      </c>
      <c r="B30" s="3">
        <f t="shared" si="2"/>
        <v>492000003.07200003</v>
      </c>
      <c r="C30" s="1">
        <f t="shared" si="3"/>
        <v>5824999968</v>
      </c>
    </row>
    <row r="31" spans="1:3" x14ac:dyDescent="0.25">
      <c r="A31" s="2">
        <v>7.0000000000000007E-2</v>
      </c>
      <c r="B31" s="3">
        <f t="shared" si="2"/>
        <v>544414064.99900007</v>
      </c>
      <c r="C31" s="1">
        <f t="shared" si="3"/>
        <v>4627343669.499999</v>
      </c>
    </row>
    <row r="32" spans="1:3" x14ac:dyDescent="0.25">
      <c r="A32" s="2">
        <v>0.08</v>
      </c>
      <c r="B32" s="3">
        <f t="shared" si="2"/>
        <v>584000001.53600001</v>
      </c>
      <c r="C32" s="1">
        <f t="shared" si="3"/>
        <v>3266666559.9999981</v>
      </c>
    </row>
    <row r="33" spans="1:7" x14ac:dyDescent="0.25">
      <c r="A33" s="2">
        <v>0.09</v>
      </c>
      <c r="B33" s="3">
        <f t="shared" si="2"/>
        <v>609398438.01300001</v>
      </c>
      <c r="C33" s="1">
        <f t="shared" si="3"/>
        <v>1802343661.5</v>
      </c>
    </row>
    <row r="34" spans="1:7" x14ac:dyDescent="0.25">
      <c r="A34" s="2">
        <v>0.1</v>
      </c>
      <c r="B34" s="3">
        <f t="shared" si="2"/>
        <v>619999999.99999976</v>
      </c>
      <c r="C34" s="1">
        <f t="shared" si="3"/>
        <v>325000000</v>
      </c>
    </row>
    <row r="36" spans="1:7" x14ac:dyDescent="0.25">
      <c r="B36" s="1"/>
    </row>
    <row r="37" spans="1:7" x14ac:dyDescent="0.25">
      <c r="A37" t="s">
        <v>0</v>
      </c>
      <c r="B37" s="1">
        <f>B1</f>
        <v>10000000000</v>
      </c>
    </row>
    <row r="38" spans="1:7" x14ac:dyDescent="0.25">
      <c r="A38" t="s">
        <v>13</v>
      </c>
      <c r="B38" s="1">
        <f>C34</f>
        <v>325000000</v>
      </c>
    </row>
    <row r="39" spans="1:7" x14ac:dyDescent="0.25">
      <c r="A39" t="s">
        <v>16</v>
      </c>
      <c r="B39" s="1">
        <v>10</v>
      </c>
      <c r="C39" s="1"/>
    </row>
    <row r="40" spans="1:7" x14ac:dyDescent="0.25">
      <c r="A40" t="s">
        <v>17</v>
      </c>
      <c r="B40" s="1"/>
    </row>
    <row r="41" spans="1:7" x14ac:dyDescent="0.25">
      <c r="A41" t="s">
        <v>18</v>
      </c>
    </row>
    <row r="42" spans="1:7" x14ac:dyDescent="0.25">
      <c r="A42" t="s">
        <v>24</v>
      </c>
      <c r="B42" s="1">
        <f>(B34-A34*C34)/(B37-B38)</f>
        <v>6.0723514211886279E-2</v>
      </c>
    </row>
    <row r="43" spans="1:7" x14ac:dyDescent="0.25">
      <c r="A43" t="s">
        <v>25</v>
      </c>
      <c r="B43" s="1">
        <f>B42*B37</f>
        <v>607235142.11886275</v>
      </c>
    </row>
    <row r="44" spans="1:7" x14ac:dyDescent="0.25">
      <c r="A44" t="s">
        <v>1</v>
      </c>
      <c r="B44" s="1">
        <f>B38/B37</f>
        <v>3.2500000000000001E-2</v>
      </c>
    </row>
    <row r="46" spans="1:7" x14ac:dyDescent="0.25">
      <c r="A46" t="s">
        <v>21</v>
      </c>
      <c r="B46" s="1">
        <f>A31</f>
        <v>7.0000000000000007E-2</v>
      </c>
      <c r="F46" t="s">
        <v>21</v>
      </c>
      <c r="G46">
        <f>A68</f>
        <v>-0.1</v>
      </c>
    </row>
    <row r="47" spans="1:7" x14ac:dyDescent="0.25">
      <c r="A47" t="s">
        <v>22</v>
      </c>
      <c r="B47" s="1">
        <f>B31</f>
        <v>544414064.99900007</v>
      </c>
      <c r="F47" t="s">
        <v>22</v>
      </c>
      <c r="G47" s="1">
        <f>D68</f>
        <v>-599802284.29206276</v>
      </c>
    </row>
    <row r="48" spans="1:7" x14ac:dyDescent="0.25">
      <c r="A48" t="s">
        <v>26</v>
      </c>
      <c r="B48" s="1">
        <f>(B47-(-B43)-B46*B37+(-B42)*B38)/(B38-B37)</f>
        <v>-4.4642280620051634E-2</v>
      </c>
      <c r="F48" t="s">
        <v>26</v>
      </c>
      <c r="G48" s="1">
        <f>(G47-B43-G46*B37+B42*B38)/(B38-B37)</f>
        <v>1.9359409229153732E-2</v>
      </c>
    </row>
    <row r="49" spans="1:9" x14ac:dyDescent="0.25">
      <c r="A49" t="s">
        <v>28</v>
      </c>
      <c r="B49" s="1">
        <f>B47-(B46-B48)*B37</f>
        <v>-602008741.20151615</v>
      </c>
      <c r="F49" t="s">
        <v>28</v>
      </c>
      <c r="G49" s="1">
        <f>G47-(G46-G48)*B37</f>
        <v>593791807.99947453</v>
      </c>
    </row>
    <row r="50" spans="1:9" x14ac:dyDescent="0.25">
      <c r="B50" s="1"/>
    </row>
    <row r="51" spans="1:9" x14ac:dyDescent="0.25">
      <c r="A51" s="2" t="s">
        <v>14</v>
      </c>
      <c r="B51" s="3" t="s">
        <v>20</v>
      </c>
      <c r="C51" s="2" t="s">
        <v>27</v>
      </c>
      <c r="D51" t="s">
        <v>19</v>
      </c>
      <c r="F51" s="2" t="s">
        <v>14</v>
      </c>
      <c r="G51" s="3" t="s">
        <v>20</v>
      </c>
      <c r="H51" s="2" t="s">
        <v>27</v>
      </c>
      <c r="I51" t="s">
        <v>19</v>
      </c>
    </row>
    <row r="52" spans="1:9" x14ac:dyDescent="0.25">
      <c r="A52" s="2">
        <f>B46</f>
        <v>7.0000000000000007E-2</v>
      </c>
      <c r="B52" s="3"/>
      <c r="C52" s="2"/>
      <c r="D52" s="1">
        <f>B47</f>
        <v>544414064.99900007</v>
      </c>
      <c r="F52">
        <f>A68</f>
        <v>-0.1</v>
      </c>
      <c r="G52" s="1">
        <f>(F52-$G$46)/($G$48-$G$46)</f>
        <v>0</v>
      </c>
      <c r="H52" s="1">
        <f>$B$44*G52+((1-$B$44)*G52)/(1+G52^$B$39)^(1/$B$39)</f>
        <v>0</v>
      </c>
      <c r="I52" s="1">
        <f>D68</f>
        <v>-599802284.29206276</v>
      </c>
    </row>
    <row r="53" spans="1:9" x14ac:dyDescent="0.25">
      <c r="A53" s="2">
        <v>0.05</v>
      </c>
      <c r="B53" s="1">
        <f>(A53-$B$46)/($B$48-$B$46)</f>
        <v>0.17445570597364654</v>
      </c>
      <c r="C53" s="1">
        <f>($B$44*B53+(1-$B$44)*B53)/(1+B53^$B$39)^(1/$B$39)</f>
        <v>0.17445570551809561</v>
      </c>
      <c r="D53" s="1">
        <f>C53*($B$49-$B$47)+$B$47</f>
        <v>344414065.52125406</v>
      </c>
      <c r="F53">
        <v>-0.09</v>
      </c>
      <c r="G53" s="1">
        <f t="shared" ref="G53:G77" si="4">(F53-$G$46)/($G$48-$G$46)</f>
        <v>8.3780575528833057E-2</v>
      </c>
      <c r="H53" s="1">
        <f t="shared" ref="H53:H77" si="5">$B$44*G53+((1-$B$44)*G53)/(1+G53^$B$39)^(1/$B$39)</f>
        <v>8.3780575528694931E-2</v>
      </c>
      <c r="I53" s="1">
        <f t="shared" ref="I53:I77" si="6">H53*($G$49-$G$47)+$G$47</f>
        <v>-499802284.29222757</v>
      </c>
    </row>
    <row r="54" spans="1:9" x14ac:dyDescent="0.25">
      <c r="A54" s="2">
        <v>0.04</v>
      </c>
      <c r="B54" s="1">
        <f t="shared" ref="B54:B68" si="7">(A54-$B$46)/($B$48-$B$46)</f>
        <v>0.2616835589604698</v>
      </c>
      <c r="C54" s="1">
        <f t="shared" ref="C54:C68" si="8">($B$44*B54+(1-$B$44)*B54)/(1+B54^$B$39)^(1/$B$39)</f>
        <v>0.26168351955645669</v>
      </c>
      <c r="D54" s="1">
        <f t="shared" ref="D54:D68" si="9">C54*($B$49-$B$47)+$B$47</f>
        <v>244414110.17265934</v>
      </c>
      <c r="F54">
        <v>-0.08</v>
      </c>
      <c r="G54" s="1">
        <f t="shared" si="4"/>
        <v>0.167561151057666</v>
      </c>
      <c r="H54" s="1">
        <f t="shared" si="5"/>
        <v>0.16756115077481504</v>
      </c>
      <c r="I54" s="1">
        <f t="shared" si="6"/>
        <v>-399802284.62967199</v>
      </c>
    </row>
    <row r="55" spans="1:9" x14ac:dyDescent="0.25">
      <c r="A55" s="2">
        <v>0.03</v>
      </c>
      <c r="B55" s="1">
        <f t="shared" si="7"/>
        <v>0.34891141194729308</v>
      </c>
      <c r="C55" s="1">
        <f t="shared" si="8"/>
        <v>0.34891047899265076</v>
      </c>
      <c r="D55" s="1">
        <f t="shared" si="9"/>
        <v>144415134.55947912</v>
      </c>
      <c r="F55">
        <v>-7.0000000000000007E-2</v>
      </c>
      <c r="G55" s="1">
        <f t="shared" si="4"/>
        <v>0.25134172658649895</v>
      </c>
      <c r="H55" s="1">
        <f t="shared" si="5"/>
        <v>0.25134170212059487</v>
      </c>
      <c r="I55" s="1">
        <f t="shared" si="6"/>
        <v>-299802313.49442136</v>
      </c>
    </row>
    <row r="56" spans="1:9" x14ac:dyDescent="0.25">
      <c r="A56" s="2">
        <v>0.02</v>
      </c>
      <c r="B56" s="1">
        <f t="shared" si="7"/>
        <v>0.43613926493411626</v>
      </c>
      <c r="C56" s="1">
        <f t="shared" si="8"/>
        <v>0.43612840524025259</v>
      </c>
      <c r="D56" s="1">
        <f t="shared" si="9"/>
        <v>44426514.79971379</v>
      </c>
      <c r="F56">
        <v>-0.06</v>
      </c>
      <c r="G56" s="1">
        <f t="shared" si="4"/>
        <v>0.335122302115332</v>
      </c>
      <c r="H56" s="1">
        <f t="shared" si="5"/>
        <v>0.33512172284225483</v>
      </c>
      <c r="I56" s="1">
        <f t="shared" si="6"/>
        <v>-199802975.70898545</v>
      </c>
    </row>
    <row r="57" spans="1:9" x14ac:dyDescent="0.25">
      <c r="A57" s="2">
        <v>0.01</v>
      </c>
      <c r="B57" s="1">
        <f t="shared" si="7"/>
        <v>0.52336711792093948</v>
      </c>
      <c r="C57" s="1">
        <f t="shared" si="8"/>
        <v>0.52328648679959122</v>
      </c>
      <c r="D57" s="1">
        <f t="shared" si="9"/>
        <v>-55493497.644596696</v>
      </c>
      <c r="F57">
        <v>-0.05</v>
      </c>
      <c r="G57" s="1">
        <f t="shared" si="4"/>
        <v>0.41890287764416495</v>
      </c>
      <c r="H57" s="1">
        <f t="shared" si="5"/>
        <v>0.41889613456881158</v>
      </c>
      <c r="I57" s="1">
        <f t="shared" si="6"/>
        <v>-99810332.78696847</v>
      </c>
    </row>
    <row r="58" spans="1:9" x14ac:dyDescent="0.25">
      <c r="A58" s="2">
        <v>0</v>
      </c>
      <c r="B58" s="1">
        <f t="shared" si="7"/>
        <v>0.61059497090776282</v>
      </c>
      <c r="C58" s="1">
        <f t="shared" si="8"/>
        <v>0.61015687408873931</v>
      </c>
      <c r="D58" s="1">
        <f t="shared" si="9"/>
        <v>-155083690.81634748</v>
      </c>
      <c r="F58">
        <v>-0.04</v>
      </c>
      <c r="G58" s="1">
        <f t="shared" si="4"/>
        <v>0.50268345317299801</v>
      </c>
      <c r="H58" s="1">
        <f t="shared" si="5"/>
        <v>0.50263337534551078</v>
      </c>
      <c r="I58" s="1">
        <f t="shared" si="6"/>
        <v>137943.1088937521</v>
      </c>
    </row>
    <row r="59" spans="1:9" x14ac:dyDescent="0.25">
      <c r="A59" s="2">
        <v>-0.01</v>
      </c>
      <c r="B59" s="1">
        <f t="shared" si="7"/>
        <v>0.69782282389458605</v>
      </c>
      <c r="C59" s="1">
        <f t="shared" si="8"/>
        <v>0.69594033934426502</v>
      </c>
      <c r="D59" s="1">
        <f t="shared" si="9"/>
        <v>-253427811.78019178</v>
      </c>
      <c r="F59">
        <v>-0.03</v>
      </c>
      <c r="G59" s="1">
        <f t="shared" si="4"/>
        <v>0.58646402870183101</v>
      </c>
      <c r="H59" s="1">
        <f t="shared" si="5"/>
        <v>0.58619165896263992</v>
      </c>
      <c r="I59" s="1">
        <f t="shared" si="6"/>
        <v>99872616.796319842</v>
      </c>
    </row>
    <row r="60" spans="1:9" x14ac:dyDescent="0.25">
      <c r="A60" s="2">
        <v>-0.02</v>
      </c>
      <c r="B60" s="1">
        <f t="shared" si="7"/>
        <v>0.78505067688140928</v>
      </c>
      <c r="C60" s="1">
        <f t="shared" si="8"/>
        <v>0.77839184789386118</v>
      </c>
      <c r="D60" s="1">
        <f t="shared" si="9"/>
        <v>-347952101.5870856</v>
      </c>
      <c r="F60">
        <v>-0.02</v>
      </c>
      <c r="G60" s="1">
        <f t="shared" si="4"/>
        <v>0.6702446042306639</v>
      </c>
      <c r="H60" s="1">
        <f t="shared" si="5"/>
        <v>0.66907002807235272</v>
      </c>
      <c r="I60" s="1">
        <f t="shared" si="6"/>
        <v>198795748.54443049</v>
      </c>
    </row>
    <row r="61" spans="1:9" x14ac:dyDescent="0.25">
      <c r="A61" s="2">
        <v>-0.03</v>
      </c>
      <c r="B61" s="1">
        <f t="shared" si="7"/>
        <v>0.87227852986823251</v>
      </c>
      <c r="C61" s="1">
        <f t="shared" si="8"/>
        <v>0.85268882959513859</v>
      </c>
      <c r="D61" s="1">
        <f t="shared" si="9"/>
        <v>-433127855.8412925</v>
      </c>
      <c r="F61">
        <v>-0.01</v>
      </c>
      <c r="G61" s="1">
        <f t="shared" si="4"/>
        <v>0.75402517975949701</v>
      </c>
      <c r="H61" s="1">
        <f t="shared" si="5"/>
        <v>0.74982710237085193</v>
      </c>
      <c r="I61" s="1">
        <f t="shared" si="6"/>
        <v>295186915.33786786</v>
      </c>
    </row>
    <row r="62" spans="1:9" x14ac:dyDescent="0.25">
      <c r="A62" s="2">
        <v>-0.04</v>
      </c>
      <c r="B62" s="1">
        <f t="shared" si="7"/>
        <v>0.95950638285505585</v>
      </c>
      <c r="C62" s="1">
        <f t="shared" si="8"/>
        <v>0.91201056766999355</v>
      </c>
      <c r="D62" s="1">
        <f t="shared" si="9"/>
        <v>-501135649.27375972</v>
      </c>
      <c r="F62">
        <v>0</v>
      </c>
      <c r="G62" s="1">
        <f t="shared" si="4"/>
        <v>0.8378057552883299</v>
      </c>
      <c r="H62" s="1">
        <f t="shared" si="5"/>
        <v>0.82515246796355635</v>
      </c>
      <c r="I62" s="1">
        <f t="shared" si="6"/>
        <v>385094826.70902002</v>
      </c>
    </row>
    <row r="63" spans="1:9" x14ac:dyDescent="0.25">
      <c r="A63" s="2">
        <v>-0.05</v>
      </c>
      <c r="B63" s="1">
        <f t="shared" si="7"/>
        <v>1.046734235841879</v>
      </c>
      <c r="C63" s="1">
        <f>($B$44*B63+(1-$B$44)*B63)/(1+B63^$B$39)^(1/$B$39)</f>
        <v>0.95212153266231003</v>
      </c>
      <c r="D63" s="1">
        <f t="shared" si="9"/>
        <v>-547119774.31966186</v>
      </c>
      <c r="F63">
        <v>0.01</v>
      </c>
      <c r="G63" s="1">
        <f t="shared" si="4"/>
        <v>0.9215863308171629</v>
      </c>
      <c r="H63" s="1">
        <f t="shared" si="5"/>
        <v>0.88954357217471047</v>
      </c>
      <c r="I63" s="1">
        <f t="shared" si="6"/>
        <v>461951668.29158235</v>
      </c>
    </row>
    <row r="64" spans="1:9" x14ac:dyDescent="0.25">
      <c r="A64" s="2">
        <v>-0.06</v>
      </c>
      <c r="B64" s="1">
        <f t="shared" si="7"/>
        <v>1.1339620888287023</v>
      </c>
      <c r="C64" s="1">
        <f t="shared" si="8"/>
        <v>0.97527723459438675</v>
      </c>
      <c r="D64" s="1">
        <f t="shared" si="9"/>
        <v>-573665999.10817599</v>
      </c>
      <c r="F64">
        <v>0.02</v>
      </c>
      <c r="G64" s="1">
        <f t="shared" si="4"/>
        <v>1.005366906345996</v>
      </c>
      <c r="H64" s="1">
        <f t="shared" si="5"/>
        <v>0.93777057044454437</v>
      </c>
      <c r="I64" s="1">
        <f t="shared" si="6"/>
        <v>519515128.51541018</v>
      </c>
    </row>
    <row r="65" spans="1:9" x14ac:dyDescent="0.25">
      <c r="A65" s="2">
        <v>-7.0000000000000007E-2</v>
      </c>
      <c r="B65" s="1">
        <f t="shared" si="7"/>
        <v>1.2211899418155256</v>
      </c>
      <c r="C65" s="1">
        <f t="shared" si="8"/>
        <v>0.98736688756684587</v>
      </c>
      <c r="D65" s="1">
        <f t="shared" si="9"/>
        <v>-587525852.99485302</v>
      </c>
      <c r="F65">
        <v>0.03</v>
      </c>
      <c r="G65" s="1">
        <f t="shared" si="4"/>
        <v>1.0891474818748288</v>
      </c>
      <c r="H65" s="1">
        <f t="shared" si="5"/>
        <v>0.96918312436749043</v>
      </c>
      <c r="I65" s="1">
        <f t="shared" si="6"/>
        <v>557008967.30162811</v>
      </c>
    </row>
    <row r="66" spans="1:9" x14ac:dyDescent="0.25">
      <c r="A66" s="2">
        <v>-0.08</v>
      </c>
      <c r="B66" s="1">
        <f t="shared" si="7"/>
        <v>1.308417794802349</v>
      </c>
      <c r="C66" s="1">
        <f t="shared" si="8"/>
        <v>0.99344243029616242</v>
      </c>
      <c r="D66" s="1">
        <f t="shared" si="9"/>
        <v>-594490993.7397871</v>
      </c>
      <c r="F66">
        <v>0.04</v>
      </c>
      <c r="G66" s="1">
        <f t="shared" si="4"/>
        <v>1.172928057403662</v>
      </c>
      <c r="H66" s="1">
        <f t="shared" si="5"/>
        <v>0.98791094389466738</v>
      </c>
      <c r="I66" s="1">
        <f t="shared" si="6"/>
        <v>579362382.05076861</v>
      </c>
    </row>
    <row r="67" spans="1:9" x14ac:dyDescent="0.25">
      <c r="A67" s="2">
        <v>-0.09</v>
      </c>
      <c r="B67" s="1">
        <f t="shared" si="7"/>
        <v>1.3956456477891721</v>
      </c>
      <c r="C67" s="1">
        <f t="shared" si="8"/>
        <v>0.99650171157883172</v>
      </c>
      <c r="D67" s="1">
        <f t="shared" si="9"/>
        <v>-597998223.57282162</v>
      </c>
      <c r="F67">
        <v>0.05</v>
      </c>
      <c r="G67" s="1">
        <f t="shared" si="4"/>
        <v>1.256708632932495</v>
      </c>
      <c r="H67" s="1">
        <f t="shared" si="5"/>
        <v>0.99901081107554734</v>
      </c>
      <c r="I67" s="1">
        <f t="shared" si="6"/>
        <v>592611117.94308758</v>
      </c>
    </row>
    <row r="68" spans="1:9" x14ac:dyDescent="0.25">
      <c r="A68" s="2">
        <v>-0.1</v>
      </c>
      <c r="B68" s="1">
        <f t="shared" si="7"/>
        <v>1.4828735007759954</v>
      </c>
      <c r="C68" s="1">
        <f t="shared" si="8"/>
        <v>0.99807535501080435</v>
      </c>
      <c r="D68" s="1">
        <f>C68*($B$49-$B$47)+$B$47</f>
        <v>-599802284.29206276</v>
      </c>
      <c r="F68">
        <v>0.06</v>
      </c>
      <c r="G68" s="1">
        <f t="shared" si="4"/>
        <v>1.3404892084613278</v>
      </c>
      <c r="H68" s="1">
        <f t="shared" si="5"/>
        <v>1.0060477006287356</v>
      </c>
      <c r="I68" s="1">
        <f t="shared" si="6"/>
        <v>601010307.74188113</v>
      </c>
    </row>
    <row r="69" spans="1:9" x14ac:dyDescent="0.25">
      <c r="B69" s="1"/>
      <c r="F69">
        <v>7.0000000000000007E-2</v>
      </c>
      <c r="G69" s="1">
        <f t="shared" si="4"/>
        <v>1.424269783990161</v>
      </c>
      <c r="H69" s="1">
        <f t="shared" si="5"/>
        <v>1.0110163476377654</v>
      </c>
      <c r="I69" s="1">
        <f t="shared" si="6"/>
        <v>606940855.45854115</v>
      </c>
    </row>
    <row r="70" spans="1:9" x14ac:dyDescent="0.25">
      <c r="B70" s="1"/>
      <c r="F70">
        <v>0.08</v>
      </c>
      <c r="G70" s="1">
        <f t="shared" si="4"/>
        <v>1.5080503595189938</v>
      </c>
      <c r="H70" s="1">
        <f t="shared" si="5"/>
        <v>1.0149355019452648</v>
      </c>
      <c r="I70" s="1">
        <f t="shared" si="6"/>
        <v>611618734.88675141</v>
      </c>
    </row>
    <row r="71" spans="1:9" x14ac:dyDescent="0.25">
      <c r="B71" s="1"/>
      <c r="F71">
        <v>0.09</v>
      </c>
      <c r="G71" s="1">
        <f t="shared" si="4"/>
        <v>1.5918309350478268</v>
      </c>
      <c r="H71" s="1">
        <f t="shared" si="5"/>
        <v>1.0183131985711307</v>
      </c>
      <c r="I71" s="1">
        <f t="shared" si="6"/>
        <v>615650333.62493801</v>
      </c>
    </row>
    <row r="72" spans="1:9" x14ac:dyDescent="0.25">
      <c r="B72" s="1"/>
      <c r="F72">
        <v>0.1</v>
      </c>
      <c r="G72" s="1">
        <f t="shared" si="4"/>
        <v>1.6756115105766598</v>
      </c>
      <c r="H72" s="1">
        <f t="shared" si="5"/>
        <v>1.021404594612479</v>
      </c>
      <c r="I72" s="1">
        <f t="shared" si="6"/>
        <v>619340205.67682481</v>
      </c>
    </row>
    <row r="73" spans="1:9" x14ac:dyDescent="0.25">
      <c r="B73" s="1"/>
      <c r="F73">
        <v>0.11</v>
      </c>
      <c r="G73" s="1">
        <f t="shared" si="4"/>
        <v>1.759392086105493</v>
      </c>
      <c r="H73" s="1">
        <f t="shared" si="5"/>
        <v>1.0243404724939151</v>
      </c>
      <c r="I73" s="1">
        <f t="shared" si="6"/>
        <v>622844452.17179632</v>
      </c>
    </row>
    <row r="74" spans="1:9" x14ac:dyDescent="0.25">
      <c r="B74" s="1"/>
      <c r="F74">
        <v>0.12</v>
      </c>
      <c r="G74" s="1">
        <f t="shared" si="4"/>
        <v>1.8431726616343258</v>
      </c>
      <c r="H74" s="1">
        <f t="shared" si="5"/>
        <v>1.0271895792683807</v>
      </c>
      <c r="I74" s="1">
        <f t="shared" si="6"/>
        <v>626245129.1861062</v>
      </c>
    </row>
    <row r="75" spans="1:9" x14ac:dyDescent="0.25">
      <c r="B75" s="1"/>
      <c r="F75">
        <v>0.13</v>
      </c>
      <c r="G75" s="1">
        <f t="shared" si="4"/>
        <v>1.9269532371631588</v>
      </c>
      <c r="H75" s="1">
        <f t="shared" si="5"/>
        <v>1.0299890179145235</v>
      </c>
      <c r="I75" s="1">
        <f t="shared" si="6"/>
        <v>629586522.61587477</v>
      </c>
    </row>
    <row r="76" spans="1:9" x14ac:dyDescent="0.25">
      <c r="B76" s="1"/>
      <c r="F76">
        <v>0.14000000000000001</v>
      </c>
      <c r="G76" s="1">
        <f t="shared" si="4"/>
        <v>2.010733812691992</v>
      </c>
      <c r="H76" s="1">
        <f t="shared" si="5"/>
        <v>1.0327593363184375</v>
      </c>
      <c r="I76" s="1">
        <f t="shared" si="6"/>
        <v>632893158.29655313</v>
      </c>
    </row>
    <row r="77" spans="1:9" x14ac:dyDescent="0.25">
      <c r="F77">
        <v>0.15</v>
      </c>
      <c r="G77" s="1">
        <f t="shared" si="4"/>
        <v>2.0945143882208246</v>
      </c>
      <c r="H77" s="1">
        <f t="shared" si="5"/>
        <v>1.0355121965742131</v>
      </c>
      <c r="I77" s="1">
        <f t="shared" si="6"/>
        <v>636178956.03475118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5128-8255-4C3C-8900-F73A451DACB0}">
  <dimension ref="A1:E62"/>
  <sheetViews>
    <sheetView tabSelected="1" zoomScale="130" zoomScaleNormal="130" workbookViewId="0">
      <selection activeCell="A2" sqref="A2:B41"/>
    </sheetView>
  </sheetViews>
  <sheetFormatPr baseColWidth="10" defaultRowHeight="15" x14ac:dyDescent="0.25"/>
  <sheetData>
    <row r="1" spans="1:5" x14ac:dyDescent="0.25">
      <c r="B1" s="1"/>
    </row>
    <row r="2" spans="1:5" x14ac:dyDescent="0.25">
      <c r="A2">
        <v>-0.01</v>
      </c>
      <c r="B2" s="1">
        <v>-102000000</v>
      </c>
      <c r="D2">
        <v>0</v>
      </c>
      <c r="E2">
        <v>0</v>
      </c>
    </row>
    <row r="3" spans="1:5" x14ac:dyDescent="0.25">
      <c r="A3">
        <v>-0.02</v>
      </c>
      <c r="B3" s="1">
        <v>-200004000</v>
      </c>
      <c r="D3">
        <v>0.01</v>
      </c>
      <c r="E3">
        <v>98210937.797000006</v>
      </c>
    </row>
    <row r="4" spans="1:5" x14ac:dyDescent="0.25">
      <c r="A4">
        <v>-0.03</v>
      </c>
      <c r="B4" s="1">
        <v>-200106000</v>
      </c>
      <c r="D4">
        <v>0.02</v>
      </c>
      <c r="E4">
        <v>190000001.02399999</v>
      </c>
    </row>
    <row r="5" spans="1:5" x14ac:dyDescent="0.25">
      <c r="A5">
        <v>-0.04</v>
      </c>
      <c r="B5" s="1">
        <v>-200208000</v>
      </c>
      <c r="D5">
        <v>0.03</v>
      </c>
      <c r="E5">
        <v>276070314.41100001</v>
      </c>
    </row>
    <row r="6" spans="1:5" x14ac:dyDescent="0.25">
      <c r="A6">
        <v>-0.05</v>
      </c>
      <c r="B6" s="1">
        <v>-200310000</v>
      </c>
      <c r="D6">
        <v>0.04</v>
      </c>
      <c r="E6">
        <v>356000002.68800002</v>
      </c>
    </row>
    <row r="7" spans="1:5" x14ac:dyDescent="0.25">
      <c r="A7">
        <v>-0.06</v>
      </c>
      <c r="B7" s="1">
        <v>-200412000</v>
      </c>
      <c r="D7">
        <v>0.05</v>
      </c>
      <c r="E7">
        <v>428554690.625</v>
      </c>
    </row>
    <row r="8" spans="1:5" x14ac:dyDescent="0.25">
      <c r="A8">
        <v>-7.0000000000000007E-2</v>
      </c>
      <c r="B8" s="1">
        <v>-200514000</v>
      </c>
      <c r="D8">
        <v>0.06</v>
      </c>
      <c r="E8">
        <v>492000003.07200003</v>
      </c>
    </row>
    <row r="9" spans="1:5" x14ac:dyDescent="0.25">
      <c r="A9">
        <v>-0.05</v>
      </c>
      <c r="B9" s="1">
        <v>-514021</v>
      </c>
      <c r="D9">
        <v>7.0000000000000007E-2</v>
      </c>
      <c r="E9">
        <v>544414064.99900007</v>
      </c>
    </row>
    <row r="10" spans="1:5" x14ac:dyDescent="0.25">
      <c r="A10">
        <v>-0.03</v>
      </c>
      <c r="B10" s="1">
        <v>199444000</v>
      </c>
      <c r="D10">
        <v>0.08</v>
      </c>
      <c r="E10">
        <v>584000001.53600001</v>
      </c>
    </row>
    <row r="11" spans="1:5" x14ac:dyDescent="0.25">
      <c r="A11">
        <v>-0.01</v>
      </c>
      <c r="B11" s="1">
        <v>395964000</v>
      </c>
      <c r="D11">
        <v>0.09</v>
      </c>
      <c r="E11">
        <v>609398438.01300001</v>
      </c>
    </row>
    <row r="12" spans="1:5" x14ac:dyDescent="0.25">
      <c r="A12">
        <v>0.01</v>
      </c>
      <c r="B12" s="1">
        <v>543647000</v>
      </c>
      <c r="D12">
        <v>0.1</v>
      </c>
      <c r="E12">
        <v>619999999.99999976</v>
      </c>
    </row>
    <row r="13" spans="1:5" x14ac:dyDescent="0.25">
      <c r="A13">
        <v>0.03</v>
      </c>
      <c r="B13" s="1">
        <v>590580000</v>
      </c>
    </row>
    <row r="14" spans="1:5" x14ac:dyDescent="0.25">
      <c r="A14">
        <v>0.05</v>
      </c>
      <c r="B14" s="1">
        <v>602817000</v>
      </c>
    </row>
    <row r="15" spans="1:5" x14ac:dyDescent="0.25">
      <c r="A15">
        <v>7.0000000000000007E-2</v>
      </c>
      <c r="B15" s="1">
        <v>610145000</v>
      </c>
    </row>
    <row r="16" spans="1:5" x14ac:dyDescent="0.25">
      <c r="A16">
        <v>0.08</v>
      </c>
      <c r="B16" s="1">
        <v>613472000</v>
      </c>
    </row>
    <row r="17" spans="1:2" x14ac:dyDescent="0.25">
      <c r="A17">
        <v>0.1</v>
      </c>
      <c r="B17" s="1">
        <v>619963000</v>
      </c>
    </row>
    <row r="18" spans="1:2" x14ac:dyDescent="0.25">
      <c r="A18">
        <v>0.08</v>
      </c>
      <c r="B18" s="1">
        <v>419963000</v>
      </c>
    </row>
    <row r="19" spans="1:2" x14ac:dyDescent="0.25">
      <c r="A19">
        <v>0.06</v>
      </c>
      <c r="B19" s="1">
        <v>219993000</v>
      </c>
    </row>
    <row r="20" spans="1:2" x14ac:dyDescent="0.25">
      <c r="A20">
        <v>0.04</v>
      </c>
      <c r="B20" s="1">
        <v>22471000</v>
      </c>
    </row>
    <row r="21" spans="1:2" x14ac:dyDescent="0.25">
      <c r="A21">
        <v>0.02</v>
      </c>
      <c r="B21" s="1">
        <v>-136433000</v>
      </c>
    </row>
    <row r="22" spans="1:2" x14ac:dyDescent="0.25">
      <c r="A22">
        <v>0</v>
      </c>
      <c r="B22" s="1">
        <v>-195286000</v>
      </c>
    </row>
    <row r="23" spans="1:2" x14ac:dyDescent="0.25">
      <c r="A23">
        <v>-0.02</v>
      </c>
      <c r="B23" s="1">
        <v>-210058000</v>
      </c>
    </row>
    <row r="24" spans="1:2" x14ac:dyDescent="0.25">
      <c r="A24">
        <v>-0.04</v>
      </c>
      <c r="B24" s="1">
        <v>-217815000</v>
      </c>
    </row>
    <row r="25" spans="1:2" x14ac:dyDescent="0.25">
      <c r="A25">
        <v>-0.06</v>
      </c>
      <c r="B25" s="1">
        <v>-224491000</v>
      </c>
    </row>
    <row r="26" spans="1:2" x14ac:dyDescent="0.25">
      <c r="A26">
        <v>-0.08</v>
      </c>
      <c r="B26" s="1">
        <v>-230959000</v>
      </c>
    </row>
    <row r="27" spans="1:2" x14ac:dyDescent="0.25">
      <c r="A27">
        <v>-0.1</v>
      </c>
      <c r="B27" s="1">
        <v>-237379000</v>
      </c>
    </row>
    <row r="28" spans="1:2" x14ac:dyDescent="0.25">
      <c r="A28">
        <v>-0.08</v>
      </c>
      <c r="B28" s="1">
        <v>-37378900</v>
      </c>
    </row>
    <row r="29" spans="1:2" x14ac:dyDescent="0.25">
      <c r="A29">
        <v>-0.06</v>
      </c>
      <c r="B29" s="1">
        <v>162591000</v>
      </c>
    </row>
    <row r="30" spans="1:2" x14ac:dyDescent="0.25">
      <c r="A30">
        <v>-0.04</v>
      </c>
      <c r="B30" s="1">
        <v>360114000</v>
      </c>
    </row>
    <row r="31" spans="1:2" x14ac:dyDescent="0.25">
      <c r="A31">
        <v>-0.02</v>
      </c>
      <c r="B31" s="1">
        <v>519028000</v>
      </c>
    </row>
    <row r="32" spans="1:2" x14ac:dyDescent="0.25">
      <c r="A32">
        <v>0</v>
      </c>
      <c r="B32" s="1">
        <v>577893000</v>
      </c>
    </row>
    <row r="33" spans="1:2" x14ac:dyDescent="0.25">
      <c r="A33">
        <v>0.02</v>
      </c>
      <c r="B33" s="1">
        <v>592668000</v>
      </c>
    </row>
    <row r="34" spans="1:2" x14ac:dyDescent="0.25">
      <c r="A34">
        <v>0</v>
      </c>
      <c r="B34" s="1">
        <v>392668000</v>
      </c>
    </row>
    <row r="35" spans="1:2" x14ac:dyDescent="0.25">
      <c r="A35">
        <v>-0.02</v>
      </c>
      <c r="B35" s="1">
        <v>192709000</v>
      </c>
    </row>
    <row r="36" spans="1:2" x14ac:dyDescent="0.25">
      <c r="A36">
        <v>-0.04</v>
      </c>
      <c r="B36" s="1">
        <v>-3879530</v>
      </c>
    </row>
    <row r="37" spans="1:2" x14ac:dyDescent="0.25">
      <c r="A37">
        <v>-0.06</v>
      </c>
      <c r="B37" s="1">
        <v>-152270000</v>
      </c>
    </row>
    <row r="38" spans="1:2" x14ac:dyDescent="0.25">
      <c r="A38">
        <v>-0.08</v>
      </c>
      <c r="B38" s="1">
        <v>-199853000</v>
      </c>
    </row>
    <row r="39" spans="1:2" x14ac:dyDescent="0.25">
      <c r="A39">
        <v>-0.1</v>
      </c>
      <c r="B39" s="1">
        <v>-212217000</v>
      </c>
    </row>
    <row r="40" spans="1:2" x14ac:dyDescent="0.25">
      <c r="A40">
        <v>-0.12</v>
      </c>
      <c r="B40" s="1">
        <v>-219566000</v>
      </c>
    </row>
    <row r="41" spans="1:2" x14ac:dyDescent="0.25">
      <c r="A41">
        <v>-0.14000000000000001</v>
      </c>
      <c r="B41" s="1">
        <v>-226158000</v>
      </c>
    </row>
    <row r="42" spans="1:2" x14ac:dyDescent="0.25">
      <c r="B42" s="1"/>
    </row>
    <row r="43" spans="1:2" x14ac:dyDescent="0.25">
      <c r="B43" s="1"/>
    </row>
    <row r="44" spans="1:2" x14ac:dyDescent="0.25">
      <c r="B44" s="1"/>
    </row>
    <row r="45" spans="1:2" x14ac:dyDescent="0.25">
      <c r="B45" s="1"/>
    </row>
    <row r="46" spans="1:2" x14ac:dyDescent="0.25">
      <c r="B46" s="1"/>
    </row>
    <row r="47" spans="1:2" x14ac:dyDescent="0.25">
      <c r="B47" s="1"/>
    </row>
    <row r="48" spans="1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3388-FAD7-4340-844A-9B82C7B3ECA5}">
  <dimension ref="A1:J41"/>
  <sheetViews>
    <sheetView topLeftCell="A13" zoomScaleNormal="100" workbookViewId="0">
      <selection activeCell="A31" sqref="A31:C31"/>
    </sheetView>
  </sheetViews>
  <sheetFormatPr baseColWidth="10" defaultRowHeight="15" x14ac:dyDescent="0.25"/>
  <cols>
    <col min="3" max="3" width="12" bestFit="1" customWidth="1"/>
    <col min="7" max="7" width="12" bestFit="1" customWidth="1"/>
    <col min="19" max="19" width="12" bestFit="1" customWidth="1"/>
  </cols>
  <sheetData>
    <row r="1" spans="1:10" x14ac:dyDescent="0.25">
      <c r="A1" t="s">
        <v>33</v>
      </c>
    </row>
    <row r="2" spans="1:10" x14ac:dyDescent="0.25">
      <c r="A2" t="s">
        <v>34</v>
      </c>
    </row>
    <row r="3" spans="1:10" x14ac:dyDescent="0.25">
      <c r="A3" t="s">
        <v>35</v>
      </c>
    </row>
    <row r="6" spans="1:10" x14ac:dyDescent="0.25">
      <c r="A6" t="s">
        <v>36</v>
      </c>
    </row>
    <row r="7" spans="1:10" x14ac:dyDescent="0.25">
      <c r="A7" t="s">
        <v>37</v>
      </c>
      <c r="I7" t="s">
        <v>51</v>
      </c>
      <c r="J7" s="1">
        <v>-2848333000</v>
      </c>
    </row>
    <row r="8" spans="1:10" x14ac:dyDescent="0.25">
      <c r="I8" t="s">
        <v>47</v>
      </c>
      <c r="J8" s="1">
        <v>144379000</v>
      </c>
    </row>
    <row r="9" spans="1:10" x14ac:dyDescent="0.25">
      <c r="A9" t="s">
        <v>29</v>
      </c>
      <c r="B9">
        <v>6.1</v>
      </c>
      <c r="I9" t="s">
        <v>48</v>
      </c>
      <c r="J9" s="1">
        <v>-2702109</v>
      </c>
    </row>
    <row r="10" spans="1:10" x14ac:dyDescent="0.25">
      <c r="A10" t="s">
        <v>31</v>
      </c>
      <c r="B10">
        <v>2.5000000000000001E-2</v>
      </c>
      <c r="I10" t="s">
        <v>49</v>
      </c>
      <c r="J10" s="1">
        <v>38381.879999999997</v>
      </c>
    </row>
    <row r="11" spans="1:10" x14ac:dyDescent="0.25">
      <c r="A11" t="s">
        <v>30</v>
      </c>
      <c r="B11">
        <v>1.35</v>
      </c>
      <c r="I11" t="s">
        <v>50</v>
      </c>
      <c r="J11" s="1">
        <v>0</v>
      </c>
    </row>
    <row r="12" spans="1:10" x14ac:dyDescent="0.25">
      <c r="A12" t="s">
        <v>32</v>
      </c>
      <c r="B12">
        <v>0.21</v>
      </c>
    </row>
    <row r="15" spans="1:10" x14ac:dyDescent="0.25">
      <c r="A15" t="s">
        <v>38</v>
      </c>
      <c r="B15">
        <f>8760*10</f>
        <v>87600</v>
      </c>
      <c r="C15" t="s">
        <v>40</v>
      </c>
      <c r="D15" t="s">
        <v>42</v>
      </c>
    </row>
    <row r="16" spans="1:10" x14ac:dyDescent="0.25">
      <c r="A16" t="s">
        <v>39</v>
      </c>
      <c r="B16">
        <v>30</v>
      </c>
      <c r="C16" t="s">
        <v>41</v>
      </c>
      <c r="D16" t="s">
        <v>43</v>
      </c>
    </row>
    <row r="19" spans="1:4" x14ac:dyDescent="0.25">
      <c r="A19" s="2" t="s">
        <v>19</v>
      </c>
      <c r="B19" s="2" t="s">
        <v>19</v>
      </c>
      <c r="C19" s="2" t="s">
        <v>14</v>
      </c>
      <c r="D19" s="2"/>
    </row>
    <row r="20" spans="1:4" x14ac:dyDescent="0.25">
      <c r="A20" s="2" t="s">
        <v>46</v>
      </c>
      <c r="B20" s="2" t="s">
        <v>44</v>
      </c>
      <c r="C20" s="2" t="s">
        <v>45</v>
      </c>
      <c r="D20" s="2"/>
    </row>
    <row r="21" spans="1:4" x14ac:dyDescent="0.25">
      <c r="A21" s="2">
        <v>0</v>
      </c>
      <c r="B21">
        <f>A21/9.81</f>
        <v>0</v>
      </c>
      <c r="C21">
        <f>($B$9*EXP($B$10*$B$16)*(B21^$B$11)*($B$15^$B$12))/1000000</f>
        <v>0</v>
      </c>
    </row>
    <row r="22" spans="1:4" x14ac:dyDescent="0.25">
      <c r="A22" s="2">
        <v>20</v>
      </c>
      <c r="B22">
        <f t="shared" ref="B22:B41" si="0">A22/9.81</f>
        <v>2.038735983690112</v>
      </c>
      <c r="C22">
        <f t="shared" ref="C22:C41" si="1">($B$9*EXP($B$10*$B$16)*(B22^$B$11)*($B$15^$B$12))/1000000</f>
        <v>3.6864970687408485E-4</v>
      </c>
    </row>
    <row r="23" spans="1:4" x14ac:dyDescent="0.25">
      <c r="A23" s="2">
        <v>40</v>
      </c>
      <c r="B23">
        <f t="shared" si="0"/>
        <v>4.077471967380224</v>
      </c>
      <c r="C23">
        <f t="shared" si="1"/>
        <v>9.3973280330899146E-4</v>
      </c>
    </row>
    <row r="24" spans="1:4" x14ac:dyDescent="0.25">
      <c r="A24" s="2">
        <v>60</v>
      </c>
      <c r="B24">
        <f t="shared" si="0"/>
        <v>6.1162079510703364</v>
      </c>
      <c r="C24">
        <f t="shared" si="1"/>
        <v>1.6245294425338622E-3</v>
      </c>
    </row>
    <row r="25" spans="1:4" x14ac:dyDescent="0.25">
      <c r="A25" s="2">
        <v>80</v>
      </c>
      <c r="B25">
        <f t="shared" si="0"/>
        <v>8.154943934760448</v>
      </c>
      <c r="C25">
        <f t="shared" si="1"/>
        <v>2.395492862595995E-3</v>
      </c>
    </row>
    <row r="26" spans="1:4" x14ac:dyDescent="0.25">
      <c r="A26" s="2">
        <v>100</v>
      </c>
      <c r="B26">
        <f t="shared" si="0"/>
        <v>10.19367991845056</v>
      </c>
      <c r="C26">
        <f t="shared" si="1"/>
        <v>3.2376015460397053E-3</v>
      </c>
    </row>
    <row r="27" spans="1:4" x14ac:dyDescent="0.25">
      <c r="A27" s="2">
        <v>120</v>
      </c>
      <c r="B27">
        <f t="shared" si="0"/>
        <v>12.232415902140673</v>
      </c>
      <c r="C27">
        <f t="shared" si="1"/>
        <v>4.1411225307491396E-3</v>
      </c>
    </row>
    <row r="28" spans="1:4" x14ac:dyDescent="0.25">
      <c r="A28" s="2">
        <v>140</v>
      </c>
      <c r="B28">
        <f t="shared" si="0"/>
        <v>14.271151885830784</v>
      </c>
      <c r="C28">
        <f t="shared" si="1"/>
        <v>5.0991319101413709E-3</v>
      </c>
    </row>
    <row r="29" spans="1:4" x14ac:dyDescent="0.25">
      <c r="A29" s="2">
        <v>160</v>
      </c>
      <c r="B29">
        <f t="shared" si="0"/>
        <v>16.309887869520896</v>
      </c>
      <c r="C29">
        <f t="shared" si="1"/>
        <v>6.1064017713783275E-3</v>
      </c>
    </row>
    <row r="30" spans="1:4" x14ac:dyDescent="0.25">
      <c r="A30" s="2">
        <v>180</v>
      </c>
      <c r="B30">
        <f t="shared" si="0"/>
        <v>18.348623853211009</v>
      </c>
      <c r="C30">
        <f t="shared" si="1"/>
        <v>7.1588173283446662E-3</v>
      </c>
    </row>
    <row r="31" spans="1:4" x14ac:dyDescent="0.25">
      <c r="A31" s="2">
        <v>200</v>
      </c>
      <c r="B31">
        <f t="shared" si="0"/>
        <v>20.387359836901119</v>
      </c>
      <c r="C31">
        <f t="shared" si="1"/>
        <v>8.2530389150603581E-3</v>
      </c>
    </row>
    <row r="32" spans="1:4" x14ac:dyDescent="0.25">
      <c r="A32" s="2">
        <v>220</v>
      </c>
      <c r="B32">
        <f t="shared" si="0"/>
        <v>22.426095820591232</v>
      </c>
      <c r="C32">
        <f t="shared" si="1"/>
        <v>9.3862910758750404E-3</v>
      </c>
    </row>
    <row r="33" spans="1:3" x14ac:dyDescent="0.25">
      <c r="A33" s="2">
        <v>240</v>
      </c>
      <c r="B33">
        <f t="shared" si="0"/>
        <v>24.464831804281346</v>
      </c>
      <c r="C33">
        <f t="shared" si="1"/>
        <v>1.0556223461195113E-2</v>
      </c>
    </row>
    <row r="34" spans="1:3" x14ac:dyDescent="0.25">
      <c r="A34" s="2">
        <v>260</v>
      </c>
      <c r="B34">
        <f t="shared" si="0"/>
        <v>26.503567787971456</v>
      </c>
      <c r="C34">
        <f t="shared" si="1"/>
        <v>1.1760815001207472E-2</v>
      </c>
    </row>
    <row r="35" spans="1:3" x14ac:dyDescent="0.25">
      <c r="A35" s="2">
        <v>280</v>
      </c>
      <c r="B35">
        <f t="shared" si="0"/>
        <v>28.542303771661569</v>
      </c>
      <c r="C35">
        <f t="shared" si="1"/>
        <v>1.299830553234691E-2</v>
      </c>
    </row>
    <row r="36" spans="1:3" x14ac:dyDescent="0.25">
      <c r="A36" s="2">
        <v>300</v>
      </c>
      <c r="B36">
        <f t="shared" si="0"/>
        <v>30.581039755351682</v>
      </c>
      <c r="C36">
        <f t="shared" si="1"/>
        <v>1.4267145576576037E-2</v>
      </c>
    </row>
    <row r="37" spans="1:3" x14ac:dyDescent="0.25">
      <c r="A37" s="2">
        <v>320</v>
      </c>
      <c r="B37">
        <f t="shared" si="0"/>
        <v>32.619775739041792</v>
      </c>
      <c r="C37">
        <f t="shared" si="1"/>
        <v>1.5565958544782831E-2</v>
      </c>
    </row>
    <row r="38" spans="1:3" x14ac:dyDescent="0.25">
      <c r="A38" s="2">
        <v>340</v>
      </c>
      <c r="B38">
        <f t="shared" si="0"/>
        <v>34.658511722731902</v>
      </c>
      <c r="C38">
        <f t="shared" si="1"/>
        <v>1.6893511694272442E-2</v>
      </c>
    </row>
    <row r="39" spans="1:3" x14ac:dyDescent="0.25">
      <c r="A39" s="2">
        <v>360</v>
      </c>
      <c r="B39">
        <f t="shared" si="0"/>
        <v>36.697247706422019</v>
      </c>
      <c r="C39">
        <f t="shared" si="1"/>
        <v>1.8248693409757974E-2</v>
      </c>
    </row>
    <row r="40" spans="1:3" x14ac:dyDescent="0.25">
      <c r="A40" s="2">
        <v>380</v>
      </c>
      <c r="B40">
        <f t="shared" si="0"/>
        <v>38.735983690112128</v>
      </c>
      <c r="C40">
        <f t="shared" si="1"/>
        <v>1.9630495151522858E-2</v>
      </c>
    </row>
    <row r="41" spans="1:3" x14ac:dyDescent="0.25">
      <c r="A41" s="2">
        <v>400</v>
      </c>
      <c r="B41">
        <f t="shared" si="0"/>
        <v>40.774719673802238</v>
      </c>
      <c r="C41">
        <f t="shared" si="1"/>
        <v>2.1037996913739237E-2</v>
      </c>
    </row>
  </sheetData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PolynomialMP</vt:lpstr>
      <vt:lpstr>Feuil1</vt:lpstr>
      <vt:lpstr>Fluage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L.Desrochers, Alexis</dc:creator>
  <cp:lastModifiedBy>L.Desrochers, Alexis</cp:lastModifiedBy>
  <dcterms:created xsi:type="dcterms:W3CDTF">2021-06-02T11:36:40Z</dcterms:created>
  <dcterms:modified xsi:type="dcterms:W3CDTF">2021-06-10T11:04:18Z</dcterms:modified>
</cp:coreProperties>
</file>