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d3204\Projets\spartacus\doc\Material\"/>
    </mc:Choice>
  </mc:AlternateContent>
  <xr:revisionPtr revIDLastSave="0" documentId="13_ncr:1_{AEFF4B0A-AED3-4545-8C94-499698965CD6}" xr6:coauthVersionLast="45" xr6:coauthVersionMax="45" xr10:uidLastSave="{00000000-0000-0000-0000-000000000000}"/>
  <bookViews>
    <workbookView xWindow="28680" yWindow="-120" windowWidth="29040" windowHeight="15840" activeTab="4" xr2:uid="{00000000-000D-0000-FFFF-FFFF00000000}"/>
  </bookViews>
  <sheets>
    <sheet name="Bersfort-Creep" sheetId="1" r:id="rId1"/>
    <sheet name="Bersfort-SS" sheetId="2" r:id="rId2"/>
    <sheet name="Sheet3" sheetId="3" r:id="rId3"/>
    <sheet name="Sheet4" sheetId="4" r:id="rId4"/>
    <sheet name="Feuil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6" i="2" l="1"/>
  <c r="D61" i="2"/>
  <c r="J61" i="2" s="1"/>
  <c r="E61" i="2"/>
  <c r="I62" i="2"/>
  <c r="B41" i="1" l="1"/>
  <c r="D41" i="1"/>
  <c r="F41" i="1"/>
  <c r="C22" i="4"/>
  <c r="G40" i="4" s="1"/>
  <c r="B22" i="4"/>
  <c r="C21" i="4"/>
  <c r="B21" i="4"/>
  <c r="C20" i="4"/>
  <c r="B20" i="4"/>
  <c r="C19" i="4"/>
  <c r="B19" i="4"/>
  <c r="C18" i="4"/>
  <c r="B18" i="4"/>
  <c r="C17" i="4"/>
  <c r="B17" i="4"/>
  <c r="C16" i="4"/>
  <c r="B16" i="4"/>
  <c r="D13" i="4"/>
  <c r="C13" i="4"/>
  <c r="B13" i="4"/>
  <c r="D12" i="4"/>
  <c r="C12" i="4"/>
  <c r="B12" i="4"/>
  <c r="D11" i="4"/>
  <c r="C11" i="4"/>
  <c r="G24" i="4" s="1"/>
  <c r="B11" i="4"/>
  <c r="B91" i="2"/>
  <c r="B90" i="2"/>
  <c r="B89" i="2"/>
  <c r="B88" i="2"/>
  <c r="B87" i="2"/>
  <c r="K71" i="2"/>
  <c r="K70" i="2"/>
  <c r="K69" i="2"/>
  <c r="K68" i="2"/>
  <c r="K67" i="2"/>
  <c r="K66" i="2"/>
  <c r="K65" i="2"/>
  <c r="K64" i="2"/>
  <c r="K63" i="2"/>
  <c r="K62" i="2"/>
  <c r="K61" i="2"/>
  <c r="F50" i="2"/>
  <c r="O46" i="2"/>
  <c r="N46" i="2"/>
  <c r="P46" i="2" s="1"/>
  <c r="C46" i="2"/>
  <c r="B46" i="2"/>
  <c r="O45" i="2"/>
  <c r="N45" i="2" s="1"/>
  <c r="P45" i="2" s="1"/>
  <c r="C45" i="2"/>
  <c r="B45" i="2"/>
  <c r="O44" i="2"/>
  <c r="C44" i="2"/>
  <c r="B44" i="2"/>
  <c r="O39" i="2"/>
  <c r="N39" i="2"/>
  <c r="P39" i="2" s="1"/>
  <c r="C39" i="2"/>
  <c r="B39" i="2"/>
  <c r="O38" i="2"/>
  <c r="N38" i="2"/>
  <c r="P38" i="2" s="1"/>
  <c r="C38" i="2"/>
  <c r="B38" i="2"/>
  <c r="O37" i="2"/>
  <c r="D52" i="2" s="1"/>
  <c r="H52" i="2" s="1"/>
  <c r="N37" i="2"/>
  <c r="C52" i="2" s="1"/>
  <c r="C37" i="2"/>
  <c r="B37" i="2"/>
  <c r="O32" i="2"/>
  <c r="N32" i="2" s="1"/>
  <c r="P32" i="2" s="1"/>
  <c r="C32" i="2"/>
  <c r="B32" i="2"/>
  <c r="O31" i="2"/>
  <c r="N31" i="2" s="1"/>
  <c r="P31" i="2" s="1"/>
  <c r="C31" i="2"/>
  <c r="B31" i="2"/>
  <c r="O30" i="2"/>
  <c r="N30" i="2" s="1"/>
  <c r="C51" i="2" s="1"/>
  <c r="F51" i="2" s="1"/>
  <c r="C30" i="2"/>
  <c r="E30" i="2" s="1"/>
  <c r="B30" i="2"/>
  <c r="G25" i="2"/>
  <c r="F25" i="2"/>
  <c r="G24" i="2"/>
  <c r="F38" i="2" s="1"/>
  <c r="F24" i="2"/>
  <c r="E38" i="2" s="1"/>
  <c r="G23" i="2"/>
  <c r="F32" i="2" s="1"/>
  <c r="F23" i="2"/>
  <c r="D18" i="2"/>
  <c r="G18" i="2" s="1"/>
  <c r="J18" i="2" s="1"/>
  <c r="G17" i="2"/>
  <c r="J17" i="2" s="1"/>
  <c r="E17" i="2"/>
  <c r="H17" i="2" s="1"/>
  <c r="G16" i="2"/>
  <c r="J16" i="2" s="1"/>
  <c r="E16" i="2"/>
  <c r="H16" i="2" s="1"/>
  <c r="G15" i="2"/>
  <c r="J15" i="2" s="1"/>
  <c r="G14" i="2"/>
  <c r="J14" i="2" s="1"/>
  <c r="M14" i="2" s="1"/>
  <c r="E14" i="2"/>
  <c r="H14" i="2" s="1"/>
  <c r="M13" i="2"/>
  <c r="G13" i="2"/>
  <c r="J13" i="2" s="1"/>
  <c r="E13" i="2"/>
  <c r="H13" i="2" s="1"/>
  <c r="J12" i="2"/>
  <c r="M12" i="2" s="1"/>
  <c r="G12" i="2"/>
  <c r="G11" i="2"/>
  <c r="J11" i="2" s="1"/>
  <c r="M11" i="2" s="1"/>
  <c r="B6" i="2"/>
  <c r="E15" i="2" s="1"/>
  <c r="H15" i="2" s="1"/>
  <c r="B5" i="2"/>
  <c r="F16" i="2" s="1"/>
  <c r="I16" i="2" s="1"/>
  <c r="D3" i="2"/>
  <c r="D2" i="2"/>
  <c r="D1" i="2"/>
  <c r="F40" i="1"/>
  <c r="D40" i="1"/>
  <c r="B40" i="1"/>
  <c r="F39" i="1"/>
  <c r="D39" i="1"/>
  <c r="B39" i="1"/>
  <c r="F38" i="1"/>
  <c r="D38" i="1"/>
  <c r="B38" i="1"/>
  <c r="F37" i="1"/>
  <c r="D37" i="1"/>
  <c r="B37" i="1"/>
  <c r="F36" i="1"/>
  <c r="D36" i="1"/>
  <c r="B36" i="1"/>
  <c r="F35" i="1"/>
  <c r="D35" i="1"/>
  <c r="B35" i="1"/>
  <c r="F34" i="1"/>
  <c r="D34" i="1"/>
  <c r="B34" i="1"/>
  <c r="F33" i="1"/>
  <c r="D33" i="1"/>
  <c r="B33" i="1"/>
  <c r="F32" i="1"/>
  <c r="D32" i="1"/>
  <c r="B32" i="1"/>
  <c r="F31" i="1"/>
  <c r="D31" i="1"/>
  <c r="B31" i="1"/>
  <c r="F30" i="1"/>
  <c r="D30" i="1"/>
  <c r="B30" i="1"/>
  <c r="F29" i="1"/>
  <c r="D29" i="1"/>
  <c r="B29" i="1"/>
  <c r="F28" i="1"/>
  <c r="D28" i="1"/>
  <c r="B28" i="1"/>
  <c r="A8" i="1"/>
  <c r="G27" i="1" s="1"/>
  <c r="A7" i="1"/>
  <c r="E27" i="1" s="1"/>
  <c r="A6" i="1"/>
  <c r="A5" i="1"/>
  <c r="C21" i="1" s="1"/>
  <c r="F52" i="2" l="1"/>
  <c r="E46" i="2"/>
  <c r="F45" i="2"/>
  <c r="F14" i="2"/>
  <c r="I14" i="2" s="1"/>
  <c r="E37" i="2"/>
  <c r="E18" i="2"/>
  <c r="H18" i="2" s="1"/>
  <c r="E12" i="2"/>
  <c r="H12" i="2" s="1"/>
  <c r="K12" i="2" s="1"/>
  <c r="F15" i="2"/>
  <c r="I15" i="2" s="1"/>
  <c r="P37" i="2"/>
  <c r="F44" i="2"/>
  <c r="F31" i="2"/>
  <c r="E44" i="2"/>
  <c r="E39" i="2"/>
  <c r="F39" i="2"/>
  <c r="F46" i="2"/>
  <c r="F30" i="2"/>
  <c r="F11" i="2"/>
  <c r="I11" i="2" s="1"/>
  <c r="L11" i="2" s="1"/>
  <c r="F18" i="2"/>
  <c r="I18" i="2" s="1"/>
  <c r="K50" i="2" s="1"/>
  <c r="E32" i="2"/>
  <c r="C27" i="1"/>
  <c r="B27" i="1"/>
  <c r="B19" i="1"/>
  <c r="C18" i="1"/>
  <c r="B18" i="1"/>
  <c r="C12" i="1"/>
  <c r="B12" i="1"/>
  <c r="B13" i="1"/>
  <c r="C24" i="1"/>
  <c r="B24" i="1"/>
  <c r="B22" i="1"/>
  <c r="C23" i="1"/>
  <c r="C17" i="1"/>
  <c r="B23" i="1"/>
  <c r="B11" i="1"/>
  <c r="C16" i="1"/>
  <c r="B10" i="1"/>
  <c r="B17" i="1"/>
  <c r="C22" i="1"/>
  <c r="B16" i="1"/>
  <c r="D27" i="1"/>
  <c r="C5" i="1"/>
  <c r="C11" i="1" s="1"/>
  <c r="M17" i="2"/>
  <c r="N44" i="2"/>
  <c r="D53" i="2"/>
  <c r="M15" i="2"/>
  <c r="B15" i="1"/>
  <c r="C15" i="1"/>
  <c r="D51" i="2"/>
  <c r="C20" i="1"/>
  <c r="B21" i="1"/>
  <c r="M16" i="2"/>
  <c r="F27" i="1"/>
  <c r="P30" i="2"/>
  <c r="B20" i="1"/>
  <c r="E31" i="2"/>
  <c r="E24" i="4"/>
  <c r="E45" i="2"/>
  <c r="F13" i="2"/>
  <c r="I13" i="2" s="1"/>
  <c r="F17" i="2"/>
  <c r="I17" i="2" s="1"/>
  <c r="F12" i="2"/>
  <c r="I12" i="2" s="1"/>
  <c r="L12" i="2" s="1"/>
  <c r="F37" i="2"/>
  <c r="C19" i="1"/>
  <c r="B14" i="1"/>
  <c r="E11" i="2"/>
  <c r="H11" i="2" s="1"/>
  <c r="L13" i="2" l="1"/>
  <c r="C10" i="1"/>
  <c r="C14" i="1"/>
  <c r="K15" i="2"/>
  <c r="L17" i="2"/>
  <c r="K17" i="2"/>
  <c r="K16" i="2"/>
  <c r="C13" i="1"/>
  <c r="K14" i="2"/>
  <c r="K13" i="2"/>
  <c r="H51" i="2"/>
  <c r="B36" i="4"/>
  <c r="C36" i="4" s="1"/>
  <c r="B32" i="4"/>
  <c r="C32" i="4" s="1"/>
  <c r="B28" i="4"/>
  <c r="C28" i="4" s="1"/>
  <c r="B37" i="4"/>
  <c r="C37" i="4" s="1"/>
  <c r="B35" i="4"/>
  <c r="C35" i="4" s="1"/>
  <c r="D35" i="4" s="1"/>
  <c r="B31" i="4"/>
  <c r="C31" i="4" s="1"/>
  <c r="B27" i="4"/>
  <c r="C27" i="4" s="1"/>
  <c r="B29" i="4"/>
  <c r="C29" i="4" s="1"/>
  <c r="D29" i="4" s="1"/>
  <c r="F24" i="4"/>
  <c r="B34" i="4"/>
  <c r="C34" i="4" s="1"/>
  <c r="B30" i="4"/>
  <c r="C30" i="4" s="1"/>
  <c r="B33" i="4"/>
  <c r="C33" i="4" s="1"/>
  <c r="I23" i="2"/>
  <c r="K23" i="2" s="1"/>
  <c r="G37" i="2"/>
  <c r="I37" i="2" s="1"/>
  <c r="G32" i="2"/>
  <c r="I32" i="2" s="1"/>
  <c r="I24" i="2"/>
  <c r="K24" i="2" s="1"/>
  <c r="G46" i="2"/>
  <c r="I46" i="2" s="1"/>
  <c r="G45" i="2"/>
  <c r="I45" i="2" s="1"/>
  <c r="G31" i="2"/>
  <c r="I31" i="2" s="1"/>
  <c r="K11" i="2"/>
  <c r="G44" i="2"/>
  <c r="I44" i="2" s="1"/>
  <c r="I25" i="2"/>
  <c r="K25" i="2" s="1"/>
  <c r="G30" i="2"/>
  <c r="I30" i="2" s="1"/>
  <c r="G38" i="2"/>
  <c r="I38" i="2" s="1"/>
  <c r="G39" i="2"/>
  <c r="I39" i="2" s="1"/>
  <c r="H53" i="2"/>
  <c r="L15" i="2"/>
  <c r="J23" i="2"/>
  <c r="C53" i="2"/>
  <c r="P44" i="2"/>
  <c r="L14" i="2"/>
  <c r="L16" i="2"/>
  <c r="J25" i="2"/>
  <c r="J24" i="2"/>
  <c r="D27" i="4" l="1"/>
  <c r="D31" i="4"/>
  <c r="D37" i="4"/>
  <c r="E40" i="4" s="1"/>
  <c r="D28" i="4"/>
  <c r="D32" i="4"/>
  <c r="D36" i="4"/>
  <c r="F53" i="2"/>
  <c r="D33" i="4"/>
  <c r="D30" i="4"/>
  <c r="B51" i="2"/>
  <c r="H32" i="2"/>
  <c r="J32" i="2" s="1"/>
  <c r="K32" i="2" s="1"/>
  <c r="L32" i="2" s="1"/>
  <c r="M32" i="2" s="1"/>
  <c r="H31" i="2"/>
  <c r="J31" i="2" s="1"/>
  <c r="K31" i="2" s="1"/>
  <c r="L31" i="2" s="1"/>
  <c r="M31" i="2" s="1"/>
  <c r="H30" i="2"/>
  <c r="J30" i="2" s="1"/>
  <c r="K30" i="2" s="1"/>
  <c r="L30" i="2" s="1"/>
  <c r="M30" i="2" s="1"/>
  <c r="L23" i="2"/>
  <c r="M23" i="2" s="1"/>
  <c r="N23" i="2" s="1"/>
  <c r="O23" i="2" s="1"/>
  <c r="H37" i="2"/>
  <c r="J37" i="2" s="1"/>
  <c r="K37" i="2" s="1"/>
  <c r="L37" i="2" s="1"/>
  <c r="M37" i="2" s="1"/>
  <c r="L24" i="2"/>
  <c r="M24" i="2" s="1"/>
  <c r="N24" i="2" s="1"/>
  <c r="O24" i="2" s="1"/>
  <c r="B52" i="2"/>
  <c r="H39" i="2"/>
  <c r="J39" i="2" s="1"/>
  <c r="K39" i="2" s="1"/>
  <c r="L39" i="2" s="1"/>
  <c r="M39" i="2" s="1"/>
  <c r="H38" i="2"/>
  <c r="J38" i="2" s="1"/>
  <c r="K38" i="2" s="1"/>
  <c r="L38" i="2" s="1"/>
  <c r="M38" i="2" s="1"/>
  <c r="H46" i="2"/>
  <c r="J46" i="2" s="1"/>
  <c r="K46" i="2" s="1"/>
  <c r="L46" i="2" s="1"/>
  <c r="M46" i="2" s="1"/>
  <c r="L25" i="2"/>
  <c r="M25" i="2" s="1"/>
  <c r="N25" i="2" s="1"/>
  <c r="O25" i="2" s="1"/>
  <c r="H45" i="2"/>
  <c r="J45" i="2" s="1"/>
  <c r="K45" i="2" s="1"/>
  <c r="L45" i="2" s="1"/>
  <c r="M45" i="2" s="1"/>
  <c r="H44" i="2"/>
  <c r="J44" i="2" s="1"/>
  <c r="K44" i="2" s="1"/>
  <c r="L44" i="2" s="1"/>
  <c r="M44" i="2" s="1"/>
  <c r="B53" i="2"/>
  <c r="D34" i="4"/>
  <c r="E52" i="2" l="1"/>
  <c r="E51" i="2"/>
  <c r="D62" i="2"/>
  <c r="H63" i="2"/>
  <c r="D64" i="2"/>
  <c r="H68" i="2"/>
  <c r="K52" i="2"/>
  <c r="D50" i="2"/>
  <c r="G52" i="2"/>
  <c r="D70" i="2"/>
  <c r="H69" i="2"/>
  <c r="D67" i="2"/>
  <c r="H66" i="2"/>
  <c r="F69" i="2"/>
  <c r="E62" i="2"/>
  <c r="H70" i="2"/>
  <c r="D71" i="2"/>
  <c r="H71" i="2"/>
  <c r="D69" i="2"/>
  <c r="F71" i="2"/>
  <c r="F65" i="2"/>
  <c r="H64" i="2"/>
  <c r="G71" i="2"/>
  <c r="G65" i="2"/>
  <c r="K51" i="2"/>
  <c r="F64" i="2"/>
  <c r="G70" i="2"/>
  <c r="H61" i="2"/>
  <c r="F70" i="2"/>
  <c r="F61" i="2"/>
  <c r="B53" i="4"/>
  <c r="C53" i="4" s="1"/>
  <c r="B52" i="4"/>
  <c r="C52" i="4" s="1"/>
  <c r="D52" i="4" s="1"/>
  <c r="B48" i="4"/>
  <c r="C48" i="4" s="1"/>
  <c r="B44" i="4"/>
  <c r="C44" i="4" s="1"/>
  <c r="B49" i="4"/>
  <c r="C49" i="4" s="1"/>
  <c r="B45" i="4"/>
  <c r="C45" i="4" s="1"/>
  <c r="B51" i="4"/>
  <c r="C51" i="4" s="1"/>
  <c r="B47" i="4"/>
  <c r="C47" i="4" s="1"/>
  <c r="D47" i="4" s="1"/>
  <c r="B43" i="4"/>
  <c r="C43" i="4" s="1"/>
  <c r="D43" i="4" s="1"/>
  <c r="F40" i="4"/>
  <c r="B50" i="4"/>
  <c r="C50" i="4" s="1"/>
  <c r="B46" i="4"/>
  <c r="C46" i="4" s="1"/>
  <c r="D46" i="4" s="1"/>
  <c r="E53" i="2"/>
  <c r="E65" i="2" s="1"/>
  <c r="K53" i="2"/>
  <c r="G53" i="2"/>
  <c r="D68" i="2" l="1"/>
  <c r="F62" i="2"/>
  <c r="F66" i="2"/>
  <c r="F63" i="2"/>
  <c r="H67" i="2"/>
  <c r="Q61" i="2"/>
  <c r="R61" i="2" s="1"/>
  <c r="S61" i="2"/>
  <c r="T61" i="2" s="1"/>
  <c r="U61" i="2" s="1"/>
  <c r="S62" i="2" s="1"/>
  <c r="T62" i="2" s="1"/>
  <c r="U62" i="2" s="1"/>
  <c r="S63" i="2" s="1"/>
  <c r="T63" i="2" s="1"/>
  <c r="U63" i="2" s="1"/>
  <c r="S64" i="2" s="1"/>
  <c r="T64" i="2" s="1"/>
  <c r="U64" i="2" s="1"/>
  <c r="S65" i="2" s="1"/>
  <c r="T65" i="2" s="1"/>
  <c r="U65" i="2" s="1"/>
  <c r="S66" i="2" s="1"/>
  <c r="T66" i="2" s="1"/>
  <c r="U66" i="2" s="1"/>
  <c r="S67" i="2" s="1"/>
  <c r="T67" i="2" s="1"/>
  <c r="U67" i="2" s="1"/>
  <c r="S68" i="2" s="1"/>
  <c r="T68" i="2" s="1"/>
  <c r="U68" i="2" s="1"/>
  <c r="S69" i="2" s="1"/>
  <c r="T69" i="2" s="1"/>
  <c r="U69" i="2" s="1"/>
  <c r="S70" i="2" s="1"/>
  <c r="T70" i="2" s="1"/>
  <c r="U70" i="2" s="1"/>
  <c r="F67" i="2"/>
  <c r="D51" i="4"/>
  <c r="D45" i="4"/>
  <c r="D49" i="4"/>
  <c r="D65" i="2"/>
  <c r="I65" i="2" s="1"/>
  <c r="H65" i="2"/>
  <c r="H62" i="2"/>
  <c r="E63" i="2"/>
  <c r="D63" i="2"/>
  <c r="D44" i="4"/>
  <c r="F68" i="2"/>
  <c r="D66" i="2"/>
  <c r="G62" i="2"/>
  <c r="J62" i="2" s="1"/>
  <c r="D48" i="4"/>
  <c r="G68" i="2"/>
  <c r="J68" i="2" s="1"/>
  <c r="E68" i="2"/>
  <c r="G63" i="2"/>
  <c r="E64" i="2"/>
  <c r="I64" i="2" s="1"/>
  <c r="J71" i="2"/>
  <c r="I61" i="2"/>
  <c r="E67" i="2"/>
  <c r="G67" i="2"/>
  <c r="J67" i="2" s="1"/>
  <c r="E71" i="2"/>
  <c r="I71" i="2" s="1"/>
  <c r="E66" i="2"/>
  <c r="E70" i="2"/>
  <c r="I70" i="2" s="1"/>
  <c r="G64" i="2"/>
  <c r="J64" i="2" s="1"/>
  <c r="E69" i="2"/>
  <c r="I69" i="2" s="1"/>
  <c r="H50" i="2"/>
  <c r="G51" i="2"/>
  <c r="D53" i="4"/>
  <c r="G66" i="2"/>
  <c r="D50" i="4"/>
  <c r="J63" i="2"/>
  <c r="G69" i="2"/>
  <c r="J69" i="2" s="1"/>
  <c r="J70" i="2"/>
  <c r="G61" i="2"/>
  <c r="J66" i="2" l="1"/>
  <c r="J65" i="2"/>
  <c r="I63" i="2"/>
  <c r="I68" i="2"/>
  <c r="Q62" i="2"/>
  <c r="I66" i="2"/>
  <c r="Q63" i="2"/>
  <c r="R62" i="2"/>
  <c r="I67" i="2"/>
  <c r="L61" i="2"/>
  <c r="M61" i="2" s="1"/>
  <c r="N61" i="2" s="1"/>
  <c r="L62" i="2" s="1"/>
  <c r="M62" i="2" s="1"/>
  <c r="N62" i="2" s="1"/>
  <c r="L63" i="2" s="1"/>
  <c r="M63" i="2" s="1"/>
  <c r="N63" i="2" s="1"/>
  <c r="L64" i="2" s="1"/>
  <c r="M64" i="2" s="1"/>
  <c r="N64" i="2" s="1"/>
  <c r="L65" i="2" s="1"/>
  <c r="M65" i="2" s="1"/>
  <c r="N65" i="2" s="1"/>
  <c r="L66" i="2" s="1"/>
  <c r="M66" i="2" s="1"/>
  <c r="N66" i="2" s="1"/>
  <c r="L67" i="2" s="1"/>
  <c r="M67" i="2" s="1"/>
  <c r="N67" i="2" s="1"/>
  <c r="L68" i="2" s="1"/>
  <c r="M68" i="2" s="1"/>
  <c r="N68" i="2" s="1"/>
  <c r="L69" i="2" s="1"/>
  <c r="M69" i="2" s="1"/>
  <c r="N69" i="2" s="1"/>
  <c r="L70" i="2" s="1"/>
  <c r="M70" i="2" s="1"/>
  <c r="N70" i="2" s="1"/>
  <c r="L71" i="2" s="1"/>
  <c r="M71" i="2" s="1"/>
  <c r="N71" i="2" s="1"/>
  <c r="Q64" i="2" l="1"/>
  <c r="R63" i="2"/>
  <c r="R64" i="2" l="1"/>
  <c r="Q65" i="2"/>
  <c r="R65" i="2" l="1"/>
  <c r="Q66" i="2"/>
  <c r="R66" i="2" l="1"/>
  <c r="Q67" i="2"/>
  <c r="R67" i="2" l="1"/>
  <c r="Q68" i="2"/>
  <c r="R68" i="2" l="1"/>
  <c r="Q69" i="2"/>
  <c r="R69" i="2" l="1"/>
  <c r="Q70" i="2"/>
  <c r="R70" i="2" s="1"/>
</calcChain>
</file>

<file path=xl/sharedStrings.xml><?xml version="1.0" encoding="utf-8"?>
<sst xmlns="http://schemas.openxmlformats.org/spreadsheetml/2006/main" count="290" uniqueCount="109">
  <si>
    <t>lbs</t>
  </si>
  <si>
    <t>in2</t>
  </si>
  <si>
    <t>a</t>
  </si>
  <si>
    <t>b</t>
  </si>
  <si>
    <t>Eps</t>
  </si>
  <si>
    <t>Essai</t>
  </si>
  <si>
    <t>Equation</t>
  </si>
  <si>
    <t>t</t>
  </si>
  <si>
    <t>AA</t>
  </si>
  <si>
    <t>m2</t>
  </si>
  <si>
    <t>CA</t>
  </si>
  <si>
    <t>TA</t>
  </si>
  <si>
    <t>RBS</t>
  </si>
  <si>
    <t>AA/TA</t>
  </si>
  <si>
    <t>'-</t>
  </si>
  <si>
    <t>CA/TA</t>
  </si>
  <si>
    <t>Stress * Area Ratio (Mpa) / Strain (%)</t>
  </si>
  <si>
    <t>Stress (Pa) / Strain (%)</t>
  </si>
  <si>
    <t>Stress (Pa) / Strain (m/m)</t>
  </si>
  <si>
    <t>Stress (Pa) / Strain (m/m)/Ei</t>
  </si>
  <si>
    <t>Core</t>
  </si>
  <si>
    <t>Aluminium</t>
  </si>
  <si>
    <t>Composite</t>
  </si>
  <si>
    <t>A0</t>
  </si>
  <si>
    <t>A1</t>
  </si>
  <si>
    <t>A2</t>
  </si>
  <si>
    <t>A3</t>
  </si>
  <si>
    <t>A4</t>
  </si>
  <si>
    <t>A5</t>
  </si>
  <si>
    <t>A6</t>
  </si>
  <si>
    <t>E</t>
  </si>
  <si>
    <t>Tests</t>
  </si>
  <si>
    <t>Eps1</t>
  </si>
  <si>
    <t>Eps2</t>
  </si>
  <si>
    <t>EpsCr</t>
  </si>
  <si>
    <t>SigAcier</t>
  </si>
  <si>
    <t>SigAlu</t>
  </si>
  <si>
    <t>ForceAcier</t>
  </si>
  <si>
    <t>ForceAlu</t>
  </si>
  <si>
    <t>ForceTotal</t>
  </si>
  <si>
    <t>SigMoy</t>
  </si>
  <si>
    <t>R</t>
  </si>
  <si>
    <t>Pa</t>
  </si>
  <si>
    <t>h</t>
  </si>
  <si>
    <t>m/m</t>
  </si>
  <si>
    <t>N</t>
  </si>
  <si>
    <t>SigT</t>
  </si>
  <si>
    <t>EpsT</t>
  </si>
  <si>
    <t>Ecr</t>
  </si>
  <si>
    <t>Ecr(Model)</t>
  </si>
  <si>
    <t>Sig</t>
  </si>
  <si>
    <t>f1</t>
  </si>
  <si>
    <t>f2</t>
  </si>
  <si>
    <t>c</t>
  </si>
  <si>
    <t>d</t>
  </si>
  <si>
    <t>alpha</t>
  </si>
  <si>
    <t>mu</t>
  </si>
  <si>
    <t>K</t>
  </si>
  <si>
    <t>phi</t>
  </si>
  <si>
    <t>t0</t>
  </si>
  <si>
    <t>dt</t>
  </si>
  <si>
    <t>Temp</t>
  </si>
  <si>
    <t>Sig0</t>
  </si>
  <si>
    <t>f3</t>
  </si>
  <si>
    <t>teq</t>
  </si>
  <si>
    <t>tc</t>
  </si>
  <si>
    <t>EpsCR</t>
  </si>
  <si>
    <t>dEps</t>
  </si>
  <si>
    <t>Celcius</t>
  </si>
  <si>
    <t>-</t>
  </si>
  <si>
    <t>CableWire2</t>
  </si>
  <si>
    <t>a1</t>
  </si>
  <si>
    <t>a2</t>
  </si>
  <si>
    <t>a3</t>
  </si>
  <si>
    <t>b1</t>
  </si>
  <si>
    <t>b2</t>
  </si>
  <si>
    <t>b3</t>
  </si>
  <si>
    <t>Ec</t>
  </si>
  <si>
    <t>Fyc</t>
  </si>
  <si>
    <t>EpsYc</t>
  </si>
  <si>
    <t>dSig/dEps</t>
  </si>
  <si>
    <t>Eps0</t>
  </si>
  <si>
    <t>Eps*</t>
  </si>
  <si>
    <t>Sig*</t>
  </si>
  <si>
    <t>Time</t>
  </si>
  <si>
    <t>*Eps1 -&gt; CableWire01</t>
  </si>
  <si>
    <t>*Eps2 -&gt; CableWire02</t>
  </si>
  <si>
    <t>0.00101155</t>
  </si>
  <si>
    <t>0.00131029</t>
  </si>
  <si>
    <t>0.00146477</t>
  </si>
  <si>
    <t>0.00163745</t>
  </si>
  <si>
    <t>0.00174775</t>
  </si>
  <si>
    <t>0.00183049</t>
  </si>
  <si>
    <t>0.00189736</t>
  </si>
  <si>
    <t>0.0019538</t>
  </si>
  <si>
    <t>0.00207637</t>
  </si>
  <si>
    <t>0.00300666</t>
  </si>
  <si>
    <t>0.0010138</t>
  </si>
  <si>
    <t>0.00131309</t>
  </si>
  <si>
    <t>0.00146783</t>
  </si>
  <si>
    <t>0.0016408</t>
  </si>
  <si>
    <t>0.00175129</t>
  </si>
  <si>
    <t>0.00183416</t>
  </si>
  <si>
    <t>0.00190114</t>
  </si>
  <si>
    <t>0.00195767</t>
  </si>
  <si>
    <t>0.00208043</t>
  </si>
  <si>
    <t>0.00301213</t>
  </si>
  <si>
    <t>d/dSig1</t>
  </si>
  <si>
    <t>d/dSig2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</si>
</sst>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15">
    <font>
      <sz val="11"/>
      <color theme="1"/>
      <name val="Liberation Sans"/>
    </font>
    <font>
      <sz val="11"/>
      <color theme="1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b/>
      <sz val="10"/>
      <color rgb="FFFFFFFF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sz val="18"/>
      <color rgb="FF000000"/>
      <name val="Liberation Sans"/>
    </font>
    <font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rgb="FF000000"/>
      <name val="Liberation Sans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9">
    <xf numFmtId="0" fontId="0" fillId="0" borderId="0"/>
    <xf numFmtId="0" fontId="13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8" borderId="0"/>
    <xf numFmtId="0" fontId="14" fillId="0" borderId="0"/>
    <xf numFmtId="0" fontId="1" fillId="0" borderId="0"/>
    <xf numFmtId="0" fontId="1" fillId="0" borderId="0"/>
    <xf numFmtId="0" fontId="4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9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/>
    <xf numFmtId="164" fontId="0" fillId="0" borderId="0" xfId="0" applyNumberFormat="1"/>
    <xf numFmtId="0" fontId="0" fillId="9" borderId="0" xfId="0" applyFill="1"/>
    <xf numFmtId="11" fontId="0" fillId="9" borderId="0" xfId="0" applyNumberFormat="1" applyFill="1"/>
    <xf numFmtId="11" fontId="0" fillId="0" borderId="0" xfId="0" applyNumberFormat="1" applyAlignment="1">
      <alignment horizontal="center"/>
    </xf>
    <xf numFmtId="11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164" fontId="0" fillId="9" borderId="0" xfId="0" applyNumberFormat="1" applyFill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center"/>
    </xf>
    <xf numFmtId="11" fontId="0" fillId="9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</cellXfs>
  <cellStyles count="19">
    <cellStyle name="Accent" xfId="2" xr:uid="{00000000-0005-0000-0000-000000000000}"/>
    <cellStyle name="Accent 1" xfId="3" xr:uid="{00000000-0005-0000-0000-000001000000}"/>
    <cellStyle name="Accent 2" xfId="4" xr:uid="{00000000-0005-0000-0000-000002000000}"/>
    <cellStyle name="Accent 3" xfId="5" xr:uid="{00000000-0005-0000-0000-000003000000}"/>
    <cellStyle name="Bad" xfId="6" xr:uid="{00000000-0005-0000-0000-000004000000}"/>
    <cellStyle name="Error" xfId="7" xr:uid="{00000000-0005-0000-0000-000005000000}"/>
    <cellStyle name="Footnote" xfId="8" xr:uid="{00000000-0005-0000-0000-000006000000}"/>
    <cellStyle name="Good" xfId="9" xr:uid="{00000000-0005-0000-0000-000007000000}"/>
    <cellStyle name="Heading" xfId="10" xr:uid="{00000000-0005-0000-0000-000008000000}"/>
    <cellStyle name="Heading 1" xfId="11" xr:uid="{00000000-0005-0000-0000-000009000000}"/>
    <cellStyle name="Heading 2" xfId="12" xr:uid="{00000000-0005-0000-0000-00000A000000}"/>
    <cellStyle name="Hyperlink" xfId="13" xr:uid="{00000000-0005-0000-0000-00000B000000}"/>
    <cellStyle name="Neutral" xfId="14" xr:uid="{00000000-0005-0000-0000-00000C000000}"/>
    <cellStyle name="Normal" xfId="0" builtinId="0" customBuiltin="1"/>
    <cellStyle name="Note" xfId="1" builtinId="10" customBuiltin="1"/>
    <cellStyle name="Result" xfId="15" xr:uid="{00000000-0005-0000-0000-00000F000000}"/>
    <cellStyle name="Status" xfId="16" xr:uid="{00000000-0005-0000-0000-000010000000}"/>
    <cellStyle name="Text" xfId="17" xr:uid="{00000000-0005-0000-0000-000011000000}"/>
    <cellStyle name="Warning" xfId="18" xr:uid="{00000000-0005-0000-0000-00001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800">
              <a:solidFill>
                <a:srgbClr val="004586"/>
              </a:solidFill>
            </a:ln>
          </c:spPr>
          <c:marker>
            <c:symbol val="square"/>
            <c:size val="7"/>
          </c:marker>
          <c:xVal>
            <c:numRef>
              <c:f>'Bersfort-Creep'!$A$5:$A$8</c:f>
              <c:numCache>
                <c:formatCode>0.000E+00</c:formatCode>
                <c:ptCount val="4"/>
                <c:pt idx="0" formatCode="General">
                  <c:v>0</c:v>
                </c:pt>
                <c:pt idx="1">
                  <c:v>60193835.766913921</c:v>
                </c:pt>
                <c:pt idx="2">
                  <c:v>96310137.227062285</c:v>
                </c:pt>
                <c:pt idx="3">
                  <c:v>168542740.14735895</c:v>
                </c:pt>
              </c:numCache>
            </c:numRef>
          </c:xVal>
          <c:yVal>
            <c:numRef>
              <c:f>'Bersfort-Creep'!$B$5:$B$8</c:f>
              <c:numCache>
                <c:formatCode>General</c:formatCode>
                <c:ptCount val="4"/>
                <c:pt idx="0">
                  <c:v>0</c:v>
                </c:pt>
                <c:pt idx="1">
                  <c:v>4.4509999999999999E-5</c:v>
                </c:pt>
                <c:pt idx="2">
                  <c:v>7.1959999999999995E-5</c:v>
                </c:pt>
                <c:pt idx="3">
                  <c:v>3.9655000000000002E-4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3C-45E7-BA08-7B99992C414D}"/>
            </c:ext>
          </c:extLst>
        </c:ser>
        <c:ser>
          <c:idx val="1"/>
          <c:order val="1"/>
          <c:spPr>
            <a:ln w="28800">
              <a:solidFill>
                <a:srgbClr val="FF420E"/>
              </a:solidFill>
            </a:ln>
          </c:spPr>
          <c:marker>
            <c:symbol val="diamond"/>
            <c:size val="7"/>
          </c:marker>
          <c:xVal>
            <c:numRef>
              <c:f>'Bersfort-Creep'!$A$10:$A$24</c:f>
              <c:numCache>
                <c:formatCode>0.00E+00</c:formatCode>
                <c:ptCount val="15"/>
                <c:pt idx="0" formatCode="General">
                  <c:v>0</c:v>
                </c:pt>
                <c:pt idx="1">
                  <c:v>15000000</c:v>
                </c:pt>
                <c:pt idx="2" formatCode="General">
                  <c:v>30000000</c:v>
                </c:pt>
                <c:pt idx="3">
                  <c:v>45000000</c:v>
                </c:pt>
                <c:pt idx="4" formatCode="General">
                  <c:v>60000000</c:v>
                </c:pt>
                <c:pt idx="5">
                  <c:v>75000000</c:v>
                </c:pt>
                <c:pt idx="6" formatCode="General">
                  <c:v>90000000</c:v>
                </c:pt>
                <c:pt idx="7">
                  <c:v>105000000</c:v>
                </c:pt>
                <c:pt idx="8" formatCode="General">
                  <c:v>120000000</c:v>
                </c:pt>
                <c:pt idx="9">
                  <c:v>135000000</c:v>
                </c:pt>
                <c:pt idx="10" formatCode="General">
                  <c:v>150000000</c:v>
                </c:pt>
                <c:pt idx="11">
                  <c:v>165000000</c:v>
                </c:pt>
                <c:pt idx="12" formatCode="General">
                  <c:v>180000000</c:v>
                </c:pt>
                <c:pt idx="13">
                  <c:v>195000000</c:v>
                </c:pt>
                <c:pt idx="14" formatCode="General">
                  <c:v>210000000</c:v>
                </c:pt>
              </c:numCache>
            </c:numRef>
          </c:xVal>
          <c:yVal>
            <c:numRef>
              <c:f>'Bersfort-Creep'!$B$10:$B$24</c:f>
              <c:numCache>
                <c:formatCode>General</c:formatCode>
                <c:ptCount val="15"/>
                <c:pt idx="0">
                  <c:v>0</c:v>
                </c:pt>
                <c:pt idx="1">
                  <c:v>1.109166730270045E-5</c:v>
                </c:pt>
                <c:pt idx="2">
                  <c:v>2.21833346054009E-5</c:v>
                </c:pt>
                <c:pt idx="3">
                  <c:v>3.3275001908101351E-5</c:v>
                </c:pt>
                <c:pt idx="4">
                  <c:v>4.43666692108018E-5</c:v>
                </c:pt>
                <c:pt idx="5">
                  <c:v>5.5763345214395144E-5</c:v>
                </c:pt>
                <c:pt idx="6">
                  <c:v>6.7164014257274163E-5</c:v>
                </c:pt>
                <c:pt idx="7">
                  <c:v>1.1100943811287299E-4</c:v>
                </c:pt>
                <c:pt idx="8">
                  <c:v>1.7841459593852157E-4</c:v>
                </c:pt>
                <c:pt idx="9">
                  <c:v>2.4581975376417015E-4</c:v>
                </c:pt>
                <c:pt idx="10">
                  <c:v>3.1322491158981868E-4</c:v>
                </c:pt>
                <c:pt idx="11">
                  <c:v>3.8063006941546726E-4</c:v>
                </c:pt>
                <c:pt idx="12">
                  <c:v>4.4803522724111579E-4</c:v>
                </c:pt>
                <c:pt idx="13">
                  <c:v>5.1544038506676432E-4</c:v>
                </c:pt>
                <c:pt idx="14">
                  <c:v>5.828455428924129E-4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3C-45E7-BA08-7B99992C4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967416"/>
        <c:axId val="559963152"/>
      </c:scatterChart>
      <c:valAx>
        <c:axId val="559963152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fr-FR"/>
          </a:p>
        </c:txPr>
        <c:crossAx val="559967416"/>
        <c:crossesAt val="0"/>
        <c:crossBetween val="midCat"/>
      </c:valAx>
      <c:valAx>
        <c:axId val="559967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fr-FR"/>
          </a:p>
        </c:txPr>
        <c:crossAx val="559963152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fr-F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800">
              <a:solidFill>
                <a:srgbClr val="004586"/>
              </a:solidFill>
            </a:ln>
          </c:spPr>
          <c:marker>
            <c:symbol val="square"/>
            <c:size val="7"/>
          </c:marker>
          <c:xVal>
            <c:numRef>
              <c:f>'Bersfort-Creep'!$B$7:$B$9</c:f>
              <c:numCache>
                <c:formatCode>General</c:formatCode>
                <c:ptCount val="3"/>
                <c:pt idx="0">
                  <c:v>7.1959999999999995E-5</c:v>
                </c:pt>
                <c:pt idx="1">
                  <c:v>3.9655000000000002E-4</c:v>
                </c:pt>
              </c:numCache>
            </c:numRef>
          </c:xVal>
          <c:yVal>
            <c:numRef>
              <c:f>'Bersfort-Creep'!$D$7:$D$9</c:f>
              <c:numCache>
                <c:formatCode>General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51-4E0E-A1E2-10C1D9094A0A}"/>
            </c:ext>
          </c:extLst>
        </c:ser>
        <c:ser>
          <c:idx val="1"/>
          <c:order val="1"/>
          <c:spPr>
            <a:ln w="28800">
              <a:solidFill>
                <a:srgbClr val="FF420E"/>
              </a:solidFill>
            </a:ln>
          </c:spPr>
          <c:marker>
            <c:symbol val="diamond"/>
            <c:size val="7"/>
          </c:marker>
          <c:xVal>
            <c:numRef>
              <c:f>'Bersfort-Creep'!$A$10:$A$24</c:f>
              <c:numCache>
                <c:formatCode>0.00E+00</c:formatCode>
                <c:ptCount val="15"/>
                <c:pt idx="0" formatCode="General">
                  <c:v>0</c:v>
                </c:pt>
                <c:pt idx="1">
                  <c:v>15000000</c:v>
                </c:pt>
                <c:pt idx="2" formatCode="General">
                  <c:v>30000000</c:v>
                </c:pt>
                <c:pt idx="3">
                  <c:v>45000000</c:v>
                </c:pt>
                <c:pt idx="4" formatCode="General">
                  <c:v>60000000</c:v>
                </c:pt>
                <c:pt idx="5">
                  <c:v>75000000</c:v>
                </c:pt>
                <c:pt idx="6" formatCode="General">
                  <c:v>90000000</c:v>
                </c:pt>
                <c:pt idx="7">
                  <c:v>105000000</c:v>
                </c:pt>
                <c:pt idx="8" formatCode="General">
                  <c:v>120000000</c:v>
                </c:pt>
                <c:pt idx="9">
                  <c:v>135000000</c:v>
                </c:pt>
                <c:pt idx="10" formatCode="General">
                  <c:v>150000000</c:v>
                </c:pt>
                <c:pt idx="11">
                  <c:v>165000000</c:v>
                </c:pt>
                <c:pt idx="12" formatCode="General">
                  <c:v>180000000</c:v>
                </c:pt>
                <c:pt idx="13">
                  <c:v>195000000</c:v>
                </c:pt>
                <c:pt idx="14" formatCode="General">
                  <c:v>210000000</c:v>
                </c:pt>
              </c:numCache>
            </c:numRef>
          </c:xVal>
          <c:yVal>
            <c:numRef>
              <c:f>'Bersfort-Creep'!$C$10:$C$24</c:f>
              <c:numCache>
                <c:formatCode>General</c:formatCode>
                <c:ptCount val="15"/>
                <c:pt idx="0">
                  <c:v>0.20221866666666669</c:v>
                </c:pt>
                <c:pt idx="1">
                  <c:v>0.20711244019425296</c:v>
                </c:pt>
                <c:pt idx="2">
                  <c:v>0.21200621372183925</c:v>
                </c:pt>
                <c:pt idx="3">
                  <c:v>0.21689998724942552</c:v>
                </c:pt>
                <c:pt idx="4">
                  <c:v>0.22179376077701182</c:v>
                </c:pt>
                <c:pt idx="5">
                  <c:v>0.22668753430459809</c:v>
                </c:pt>
                <c:pt idx="6">
                  <c:v>0.23158130783218439</c:v>
                </c:pt>
                <c:pt idx="7">
                  <c:v>0.2250758070169161</c:v>
                </c:pt>
                <c:pt idx="8">
                  <c:v>0.21029273182885649</c:v>
                </c:pt>
                <c:pt idx="9">
                  <c:v>0.19550965664079689</c:v>
                </c:pt>
                <c:pt idx="10">
                  <c:v>0.18072658145273726</c:v>
                </c:pt>
                <c:pt idx="11">
                  <c:v>0.16594350626467766</c:v>
                </c:pt>
                <c:pt idx="12">
                  <c:v>0.15116043107661806</c:v>
                </c:pt>
                <c:pt idx="13">
                  <c:v>0.13637735588855845</c:v>
                </c:pt>
                <c:pt idx="14">
                  <c:v>0.12159428070049884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51-4E0E-A1E2-10C1D9094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965448"/>
        <c:axId val="559964136"/>
      </c:scatterChart>
      <c:valAx>
        <c:axId val="559964136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fr-FR"/>
          </a:p>
        </c:txPr>
        <c:crossAx val="559965448"/>
        <c:crossesAt val="0"/>
        <c:crossBetween val="midCat"/>
      </c:valAx>
      <c:valAx>
        <c:axId val="559965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fr-FR"/>
          </a:p>
        </c:txPr>
        <c:crossAx val="559964136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fr-F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800">
              <a:solidFill>
                <a:srgbClr val="FF420E"/>
              </a:solidFill>
            </a:ln>
          </c:spPr>
          <c:marker>
            <c:symbol val="diamond"/>
            <c:size val="7"/>
          </c:marker>
          <c:xVal>
            <c:numRef>
              <c:f>'Bersfort-Creep'!$A$28:$A$40</c:f>
              <c:numCache>
                <c:formatCode>General</c:formatCode>
                <c:ptCount val="13"/>
                <c:pt idx="0">
                  <c:v>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3000</c:v>
                </c:pt>
                <c:pt idx="6">
                  <c:v>4000</c:v>
                </c:pt>
                <c:pt idx="7">
                  <c:v>5000</c:v>
                </c:pt>
                <c:pt idx="8">
                  <c:v>6000</c:v>
                </c:pt>
                <c:pt idx="9">
                  <c:v>7000</c:v>
                </c:pt>
                <c:pt idx="10">
                  <c:v>8000</c:v>
                </c:pt>
                <c:pt idx="11">
                  <c:v>9000</c:v>
                </c:pt>
                <c:pt idx="12">
                  <c:v>10000</c:v>
                </c:pt>
              </c:numCache>
            </c:numRef>
          </c:xVal>
          <c:yVal>
            <c:numRef>
              <c:f>'Bersfort-Creep'!$B$28:$B$40</c:f>
              <c:numCache>
                <c:formatCode>General</c:formatCode>
                <c:ptCount val="13"/>
                <c:pt idx="0">
                  <c:v>0</c:v>
                </c:pt>
                <c:pt idx="1">
                  <c:v>1.2364358656610013E-6</c:v>
                </c:pt>
                <c:pt idx="2">
                  <c:v>1.7670261740470337E-6</c:v>
                </c:pt>
                <c:pt idx="3">
                  <c:v>2.0607655911939774E-6</c:v>
                </c:pt>
                <c:pt idx="4">
                  <c:v>2.403334418144293E-6</c:v>
                </c:pt>
                <c:pt idx="5">
                  <c:v>2.6295490996619722E-6</c:v>
                </c:pt>
                <c:pt idx="6">
                  <c:v>2.802849751625767E-6</c:v>
                </c:pt>
                <c:pt idx="7">
                  <c:v>2.9450995715564708E-6</c:v>
                </c:pt>
                <c:pt idx="8">
                  <c:v>3.0666689517833127E-6</c:v>
                </c:pt>
                <c:pt idx="9">
                  <c:v>3.1733612199876193E-6</c:v>
                </c:pt>
                <c:pt idx="10">
                  <c:v>3.2687780239316502E-6</c:v>
                </c:pt>
                <c:pt idx="11">
                  <c:v>3.3553202252017962E-6</c:v>
                </c:pt>
                <c:pt idx="12">
                  <c:v>3.4346745672722314E-6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63-45AA-8E33-CE2F54D75868}"/>
            </c:ext>
          </c:extLst>
        </c:ser>
        <c:ser>
          <c:idx val="1"/>
          <c:order val="1"/>
          <c:spPr>
            <a:ln w="28800">
              <a:solidFill>
                <a:srgbClr val="FFD320"/>
              </a:solidFill>
            </a:ln>
          </c:spPr>
          <c:marker>
            <c:symbol val="square"/>
            <c:size val="7"/>
          </c:marker>
          <c:xVal>
            <c:numRef>
              <c:f>'Bersfort-Creep'!$A$28:$A$40</c:f>
              <c:numCache>
                <c:formatCode>General</c:formatCode>
                <c:ptCount val="13"/>
                <c:pt idx="0">
                  <c:v>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3000</c:v>
                </c:pt>
                <c:pt idx="6">
                  <c:v>4000</c:v>
                </c:pt>
                <c:pt idx="7">
                  <c:v>5000</c:v>
                </c:pt>
                <c:pt idx="8">
                  <c:v>6000</c:v>
                </c:pt>
                <c:pt idx="9">
                  <c:v>7000</c:v>
                </c:pt>
                <c:pt idx="10">
                  <c:v>8000</c:v>
                </c:pt>
                <c:pt idx="11">
                  <c:v>9000</c:v>
                </c:pt>
                <c:pt idx="12">
                  <c:v>10000</c:v>
                </c:pt>
              </c:numCache>
            </c:numRef>
          </c:xVal>
          <c:yVal>
            <c:numRef>
              <c:f>'Bersfort-Creep'!$I$28:$I$40</c:f>
              <c:numCache>
                <c:formatCode>General</c:formatCode>
                <c:ptCount val="1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63-45AA-8E33-CE2F54D75868}"/>
            </c:ext>
          </c:extLst>
        </c:ser>
        <c:ser>
          <c:idx val="2"/>
          <c:order val="2"/>
          <c:spPr>
            <a:ln w="28800">
              <a:solidFill>
                <a:srgbClr val="004586"/>
              </a:solidFill>
            </a:ln>
          </c:spPr>
          <c:marker>
            <c:symbol val="square"/>
            <c:size val="7"/>
          </c:marker>
          <c:xVal>
            <c:numRef>
              <c:f>'Bersfort-Creep'!$A$28:$A$40</c:f>
              <c:numCache>
                <c:formatCode>General</c:formatCode>
                <c:ptCount val="13"/>
                <c:pt idx="0">
                  <c:v>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3000</c:v>
                </c:pt>
                <c:pt idx="6">
                  <c:v>4000</c:v>
                </c:pt>
                <c:pt idx="7">
                  <c:v>5000</c:v>
                </c:pt>
                <c:pt idx="8">
                  <c:v>6000</c:v>
                </c:pt>
                <c:pt idx="9">
                  <c:v>7000</c:v>
                </c:pt>
                <c:pt idx="10">
                  <c:v>8000</c:v>
                </c:pt>
                <c:pt idx="11">
                  <c:v>9000</c:v>
                </c:pt>
                <c:pt idx="12">
                  <c:v>10000</c:v>
                </c:pt>
              </c:numCache>
            </c:numRef>
          </c:xVal>
          <c:yVal>
            <c:numRef>
              <c:f>'Bersfort-Creep'!$C$28:$C$40</c:f>
              <c:numCache>
                <c:formatCode>General</c:formatCode>
                <c:ptCount val="13"/>
                <c:pt idx="0">
                  <c:v>0</c:v>
                </c:pt>
                <c:pt idx="1">
                  <c:v>1.23645E-4</c:v>
                </c:pt>
                <c:pt idx="2">
                  <c:v>1.76706E-4</c:v>
                </c:pt>
                <c:pt idx="3">
                  <c:v>2.0608099999999999E-4</c:v>
                </c:pt>
                <c:pt idx="4">
                  <c:v>2.40339E-4</c:v>
                </c:pt>
                <c:pt idx="5">
                  <c:v>2.6296099999999998E-4</c:v>
                </c:pt>
                <c:pt idx="6">
                  <c:v>2.8029200000000002E-4</c:v>
                </c:pt>
                <c:pt idx="7">
                  <c:v>2.94517E-4</c:v>
                </c:pt>
                <c:pt idx="8">
                  <c:v>3.0667500000000001E-4</c:v>
                </c:pt>
                <c:pt idx="9">
                  <c:v>3.1734500000000002E-4</c:v>
                </c:pt>
                <c:pt idx="10">
                  <c:v>3.2688699999999999E-4</c:v>
                </c:pt>
                <c:pt idx="11">
                  <c:v>3.3554100000000002E-4</c:v>
                </c:pt>
                <c:pt idx="12">
                  <c:v>3.4347700000000002E-4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63-45AA-8E33-CE2F54D75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968400"/>
        <c:axId val="559968072"/>
      </c:scatterChart>
      <c:valAx>
        <c:axId val="559968072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fr-FR"/>
          </a:p>
        </c:txPr>
        <c:crossAx val="559968400"/>
        <c:crossesAt val="0"/>
        <c:crossBetween val="midCat"/>
      </c:valAx>
      <c:valAx>
        <c:axId val="55996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fr-FR"/>
          </a:p>
        </c:txPr>
        <c:crossAx val="559968072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fr-F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800">
              <a:solidFill>
                <a:srgbClr val="FF420E"/>
              </a:solidFill>
            </a:ln>
          </c:spPr>
          <c:marker>
            <c:symbol val="diamond"/>
            <c:size val="7"/>
          </c:marker>
          <c:xVal>
            <c:numRef>
              <c:f>'Bersfort-Creep'!$A$28:$A$40</c:f>
              <c:numCache>
                <c:formatCode>General</c:formatCode>
                <c:ptCount val="13"/>
                <c:pt idx="0">
                  <c:v>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3000</c:v>
                </c:pt>
                <c:pt idx="6">
                  <c:v>4000</c:v>
                </c:pt>
                <c:pt idx="7">
                  <c:v>5000</c:v>
                </c:pt>
                <c:pt idx="8">
                  <c:v>6000</c:v>
                </c:pt>
                <c:pt idx="9">
                  <c:v>7000</c:v>
                </c:pt>
                <c:pt idx="10">
                  <c:v>8000</c:v>
                </c:pt>
                <c:pt idx="11">
                  <c:v>9000</c:v>
                </c:pt>
                <c:pt idx="12">
                  <c:v>10000</c:v>
                </c:pt>
              </c:numCache>
            </c:numRef>
          </c:xVal>
          <c:yVal>
            <c:numRef>
              <c:f>'Bersfort-Creep'!$D$28:$D$40</c:f>
              <c:numCache>
                <c:formatCode>General</c:formatCode>
                <c:ptCount val="13"/>
                <c:pt idx="0">
                  <c:v>0</c:v>
                </c:pt>
                <c:pt idx="1">
                  <c:v>2.1104309858960251E-6</c:v>
                </c:pt>
                <c:pt idx="2">
                  <c:v>3.0738205269618879E-6</c:v>
                </c:pt>
                <c:pt idx="3">
                  <c:v>3.6141914542114365E-6</c:v>
                </c:pt>
                <c:pt idx="4">
                  <c:v>4.2495584088657285E-6</c:v>
                </c:pt>
                <c:pt idx="5">
                  <c:v>4.6718163756668831E-6</c:v>
                </c:pt>
                <c:pt idx="6">
                  <c:v>4.9966214848188151E-6</c:v>
                </c:pt>
                <c:pt idx="7">
                  <c:v>5.2640318278916143E-6</c:v>
                </c:pt>
                <c:pt idx="8">
                  <c:v>5.4931114788503867E-6</c:v>
                </c:pt>
                <c:pt idx="9">
                  <c:v>5.6945559030023305E-6</c:v>
                </c:pt>
                <c:pt idx="10">
                  <c:v>5.8750166159539508E-6</c:v>
                </c:pt>
                <c:pt idx="11">
                  <c:v>6.038935270713639E-6</c:v>
                </c:pt>
                <c:pt idx="12">
                  <c:v>6.1894371126043211E-6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B1-4697-95FE-B2E7F0E8C4B0}"/>
            </c:ext>
          </c:extLst>
        </c:ser>
        <c:ser>
          <c:idx val="1"/>
          <c:order val="1"/>
          <c:spPr>
            <a:ln w="28800">
              <a:solidFill>
                <a:srgbClr val="FFD320"/>
              </a:solidFill>
            </a:ln>
          </c:spPr>
          <c:marker>
            <c:symbol val="square"/>
            <c:size val="7"/>
          </c:marker>
          <c:xVal>
            <c:numRef>
              <c:f>'Bersfort-Creep'!$A$28:$A$40</c:f>
              <c:numCache>
                <c:formatCode>General</c:formatCode>
                <c:ptCount val="13"/>
                <c:pt idx="0">
                  <c:v>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3000</c:v>
                </c:pt>
                <c:pt idx="6">
                  <c:v>4000</c:v>
                </c:pt>
                <c:pt idx="7">
                  <c:v>5000</c:v>
                </c:pt>
                <c:pt idx="8">
                  <c:v>6000</c:v>
                </c:pt>
                <c:pt idx="9">
                  <c:v>7000</c:v>
                </c:pt>
                <c:pt idx="10">
                  <c:v>8000</c:v>
                </c:pt>
                <c:pt idx="11">
                  <c:v>9000</c:v>
                </c:pt>
                <c:pt idx="12">
                  <c:v>10000</c:v>
                </c:pt>
              </c:numCache>
            </c:numRef>
          </c:xVal>
          <c:yVal>
            <c:numRef>
              <c:f>'Bersfort-Creep'!$I$28:$I$40</c:f>
              <c:numCache>
                <c:formatCode>General</c:formatCode>
                <c:ptCount val="1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B1-4697-95FE-B2E7F0E8C4B0}"/>
            </c:ext>
          </c:extLst>
        </c:ser>
        <c:ser>
          <c:idx val="2"/>
          <c:order val="2"/>
          <c:spPr>
            <a:ln w="28800">
              <a:solidFill>
                <a:srgbClr val="004586"/>
              </a:solidFill>
            </a:ln>
          </c:spPr>
          <c:marker>
            <c:symbol val="square"/>
            <c:size val="7"/>
          </c:marker>
          <c:xVal>
            <c:numRef>
              <c:f>'Bersfort-Creep'!$A$28:$A$40</c:f>
              <c:numCache>
                <c:formatCode>General</c:formatCode>
                <c:ptCount val="13"/>
                <c:pt idx="0">
                  <c:v>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3000</c:v>
                </c:pt>
                <c:pt idx="6">
                  <c:v>4000</c:v>
                </c:pt>
                <c:pt idx="7">
                  <c:v>5000</c:v>
                </c:pt>
                <c:pt idx="8">
                  <c:v>6000</c:v>
                </c:pt>
                <c:pt idx="9">
                  <c:v>7000</c:v>
                </c:pt>
                <c:pt idx="10">
                  <c:v>8000</c:v>
                </c:pt>
                <c:pt idx="11">
                  <c:v>9000</c:v>
                </c:pt>
                <c:pt idx="12">
                  <c:v>10000</c:v>
                </c:pt>
              </c:numCache>
            </c:numRef>
          </c:xVal>
          <c:yVal>
            <c:numRef>
              <c:f>'Bersfort-Creep'!$E$28:$E$40</c:f>
              <c:numCache>
                <c:formatCode>General</c:formatCode>
                <c:ptCount val="13"/>
                <c:pt idx="0">
                  <c:v>0</c:v>
                </c:pt>
                <c:pt idx="1">
                  <c:v>2.1104300000000001E-4</c:v>
                </c:pt>
                <c:pt idx="2">
                  <c:v>3.0738199999999998E-4</c:v>
                </c:pt>
                <c:pt idx="3">
                  <c:v>3.6141899999999998E-4</c:v>
                </c:pt>
                <c:pt idx="4">
                  <c:v>4.2495599999999999E-4</c:v>
                </c:pt>
                <c:pt idx="5">
                  <c:v>4.6718200000000001E-4</c:v>
                </c:pt>
                <c:pt idx="6">
                  <c:v>4.99662E-4</c:v>
                </c:pt>
                <c:pt idx="7">
                  <c:v>5.2640300000000005E-4</c:v>
                </c:pt>
                <c:pt idx="8">
                  <c:v>5.4931100000000003E-4</c:v>
                </c:pt>
                <c:pt idx="9">
                  <c:v>5.6945599999999998E-4</c:v>
                </c:pt>
                <c:pt idx="10">
                  <c:v>5.8750199999999995E-4</c:v>
                </c:pt>
                <c:pt idx="11">
                  <c:v>6.03894E-4</c:v>
                </c:pt>
                <c:pt idx="12">
                  <c:v>6.1894399999999996E-4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B1-4697-95FE-B2E7F0E8C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963808"/>
        <c:axId val="559962496"/>
      </c:scatterChart>
      <c:valAx>
        <c:axId val="559962496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fr-FR"/>
          </a:p>
        </c:txPr>
        <c:crossAx val="559963808"/>
        <c:crossesAt val="0"/>
        <c:crossBetween val="midCat"/>
      </c:valAx>
      <c:valAx>
        <c:axId val="5599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fr-FR"/>
          </a:p>
        </c:txPr>
        <c:crossAx val="559962496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fr-F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800">
              <a:solidFill>
                <a:srgbClr val="FF420E"/>
              </a:solidFill>
            </a:ln>
          </c:spPr>
          <c:marker>
            <c:symbol val="diamond"/>
            <c:size val="7"/>
          </c:marker>
          <c:xVal>
            <c:numRef>
              <c:f>'Bersfort-Creep'!$A$28:$A$40</c:f>
              <c:numCache>
                <c:formatCode>General</c:formatCode>
                <c:ptCount val="13"/>
                <c:pt idx="0">
                  <c:v>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3000</c:v>
                </c:pt>
                <c:pt idx="6">
                  <c:v>4000</c:v>
                </c:pt>
                <c:pt idx="7">
                  <c:v>5000</c:v>
                </c:pt>
                <c:pt idx="8">
                  <c:v>6000</c:v>
                </c:pt>
                <c:pt idx="9">
                  <c:v>7000</c:v>
                </c:pt>
                <c:pt idx="10">
                  <c:v>8000</c:v>
                </c:pt>
                <c:pt idx="11">
                  <c:v>9000</c:v>
                </c:pt>
                <c:pt idx="12">
                  <c:v>10000</c:v>
                </c:pt>
              </c:numCache>
            </c:numRef>
          </c:xVal>
          <c:yVal>
            <c:numRef>
              <c:f>'Bersfort-Creep'!$F$28:$F$40</c:f>
              <c:numCache>
                <c:formatCode>General</c:formatCode>
                <c:ptCount val="13"/>
                <c:pt idx="0">
                  <c:v>0</c:v>
                </c:pt>
                <c:pt idx="1">
                  <c:v>8.3791883784957982E-6</c:v>
                </c:pt>
                <c:pt idx="2">
                  <c:v>1.0883060146504379E-5</c:v>
                </c:pt>
                <c:pt idx="3">
                  <c:v>1.2180186950314364E-5</c:v>
                </c:pt>
                <c:pt idx="4">
                  <c:v>1.3631915302081685E-5</c:v>
                </c:pt>
                <c:pt idx="5">
                  <c:v>1.4560063072201888E-5</c:v>
                </c:pt>
                <c:pt idx="6">
                  <c:v>1.5256671803246229E-5</c:v>
                </c:pt>
                <c:pt idx="7">
                  <c:v>1.5819874334861932E-5</c:v>
                </c:pt>
                <c:pt idx="8">
                  <c:v>1.6295443362476526E-5</c:v>
                </c:pt>
                <c:pt idx="9">
                  <c:v>1.6708667665384917E-5</c:v>
                </c:pt>
                <c:pt idx="10">
                  <c:v>1.70750792793162E-5</c:v>
                </c:pt>
                <c:pt idx="11">
                  <c:v>1.7404941117182575E-5</c:v>
                </c:pt>
                <c:pt idx="12">
                  <c:v>1.7705408619926619E-5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19-4AF3-B41C-2E938FF725BB}"/>
            </c:ext>
          </c:extLst>
        </c:ser>
        <c:ser>
          <c:idx val="1"/>
          <c:order val="1"/>
          <c:spPr>
            <a:ln w="28800">
              <a:solidFill>
                <a:srgbClr val="004586"/>
              </a:solidFill>
            </a:ln>
          </c:spPr>
          <c:marker>
            <c:symbol val="square"/>
            <c:size val="7"/>
          </c:marker>
          <c:xVal>
            <c:numRef>
              <c:f>'Bersfort-Creep'!$A$28:$A$40</c:f>
              <c:numCache>
                <c:formatCode>General</c:formatCode>
                <c:ptCount val="13"/>
                <c:pt idx="0">
                  <c:v>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3000</c:v>
                </c:pt>
                <c:pt idx="6">
                  <c:v>4000</c:v>
                </c:pt>
                <c:pt idx="7">
                  <c:v>5000</c:v>
                </c:pt>
                <c:pt idx="8">
                  <c:v>6000</c:v>
                </c:pt>
                <c:pt idx="9">
                  <c:v>7000</c:v>
                </c:pt>
                <c:pt idx="10">
                  <c:v>8000</c:v>
                </c:pt>
                <c:pt idx="11">
                  <c:v>9000</c:v>
                </c:pt>
                <c:pt idx="12">
                  <c:v>10000</c:v>
                </c:pt>
              </c:numCache>
            </c:numRef>
          </c:xVal>
          <c:yVal>
            <c:numRef>
              <c:f>'Bersfort-Creep'!$G$28:$G$40</c:f>
              <c:numCache>
                <c:formatCode>General</c:formatCode>
                <c:ptCount val="13"/>
                <c:pt idx="0">
                  <c:v>0</c:v>
                </c:pt>
                <c:pt idx="1">
                  <c:v>8.3791099999999999E-4</c:v>
                </c:pt>
                <c:pt idx="2">
                  <c:v>1.08829E-3</c:v>
                </c:pt>
                <c:pt idx="3">
                  <c:v>1.2179999999999999E-3</c:v>
                </c:pt>
                <c:pt idx="4">
                  <c:v>1.3631699999999999E-3</c:v>
                </c:pt>
                <c:pt idx="5">
                  <c:v>1.4559799999999999E-3</c:v>
                </c:pt>
                <c:pt idx="6">
                  <c:v>1.52564E-3</c:v>
                </c:pt>
                <c:pt idx="7">
                  <c:v>1.5819600000000001E-3</c:v>
                </c:pt>
                <c:pt idx="8">
                  <c:v>1.62952E-3</c:v>
                </c:pt>
                <c:pt idx="9">
                  <c:v>1.67084E-3</c:v>
                </c:pt>
                <c:pt idx="10">
                  <c:v>1.7074799999999999E-3</c:v>
                </c:pt>
                <c:pt idx="11">
                  <c:v>1.7404600000000001E-3</c:v>
                </c:pt>
                <c:pt idx="12">
                  <c:v>1.7705100000000001E-3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19-4AF3-B41C-2E938FF72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975288"/>
        <c:axId val="559975944"/>
      </c:scatterChart>
      <c:valAx>
        <c:axId val="559975944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fr-FR"/>
          </a:p>
        </c:txPr>
        <c:crossAx val="559975288"/>
        <c:crossesAt val="0"/>
        <c:crossBetween val="midCat"/>
      </c:valAx>
      <c:valAx>
        <c:axId val="559975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fr-FR"/>
          </a:p>
        </c:txPr>
        <c:crossAx val="559975944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fr-F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800">
              <a:solidFill>
                <a:srgbClr val="004586"/>
              </a:solidFill>
            </a:ln>
          </c:spPr>
          <c:marker>
            <c:symbol val="square"/>
            <c:size val="7"/>
          </c:marker>
          <c:xVal>
            <c:numRef>
              <c:f>Sheet3!$A$1:$A$12</c:f>
              <c:numCache>
                <c:formatCode>General</c:formatCode>
                <c:ptCount val="12"/>
                <c:pt idx="0">
                  <c:v>0</c:v>
                </c:pt>
                <c:pt idx="1">
                  <c:v>2E-3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4.0000000000000001E-3</c:v>
                </c:pt>
              </c:numCache>
            </c:numRef>
          </c:xVal>
          <c:yVal>
            <c:numRef>
              <c:f>Sheet3!$B$1:$B$12</c:f>
              <c:numCache>
                <c:formatCode>General</c:formatCode>
                <c:ptCount val="12"/>
                <c:pt idx="0">
                  <c:v>0</c:v>
                </c:pt>
                <c:pt idx="1">
                  <c:v>72695.5</c:v>
                </c:pt>
                <c:pt idx="2">
                  <c:v>72695.5</c:v>
                </c:pt>
                <c:pt idx="3">
                  <c:v>101406</c:v>
                </c:pt>
                <c:pt idx="4">
                  <c:v>122142</c:v>
                </c:pt>
                <c:pt idx="5">
                  <c:v>136729</c:v>
                </c:pt>
                <c:pt idx="6">
                  <c:v>150178</c:v>
                </c:pt>
                <c:pt idx="7">
                  <c:v>91816.9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4F-401C-8C72-3D7226EEDA84}"/>
            </c:ext>
          </c:extLst>
        </c:ser>
        <c:ser>
          <c:idx val="1"/>
          <c:order val="1"/>
          <c:spPr>
            <a:ln w="28800">
              <a:solidFill>
                <a:srgbClr val="FF420E"/>
              </a:solidFill>
            </a:ln>
          </c:spPr>
          <c:marker>
            <c:symbol val="diamond"/>
            <c:size val="7"/>
          </c:marker>
          <c:xVal>
            <c:numRef>
              <c:f>Sheet3!$A$1:$A$12</c:f>
              <c:numCache>
                <c:formatCode>General</c:formatCode>
                <c:ptCount val="12"/>
                <c:pt idx="0">
                  <c:v>0</c:v>
                </c:pt>
                <c:pt idx="1">
                  <c:v>2E-3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4.0000000000000001E-3</c:v>
                </c:pt>
              </c:numCache>
            </c:numRef>
          </c:xVal>
          <c:yVal>
            <c:numRef>
              <c:f>Sheet3!$C$1:$C$12</c:f>
              <c:numCache>
                <c:formatCode>General</c:formatCode>
                <c:ptCount val="12"/>
                <c:pt idx="0">
                  <c:v>0</c:v>
                </c:pt>
                <c:pt idx="1">
                  <c:v>7096.08</c:v>
                </c:pt>
                <c:pt idx="2">
                  <c:v>7096.08</c:v>
                </c:pt>
                <c:pt idx="3">
                  <c:v>44579.1</c:v>
                </c:pt>
                <c:pt idx="4">
                  <c:v>78872.5</c:v>
                </c:pt>
                <c:pt idx="5">
                  <c:v>106042</c:v>
                </c:pt>
                <c:pt idx="6">
                  <c:v>125343</c:v>
                </c:pt>
                <c:pt idx="7">
                  <c:v>50316.800000000003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4F-401C-8C72-3D7226EED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976272"/>
        <c:axId val="559977584"/>
      </c:scatterChart>
      <c:valAx>
        <c:axId val="559977584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fr-FR"/>
          </a:p>
        </c:txPr>
        <c:crossAx val="559976272"/>
        <c:crossesAt val="0"/>
        <c:crossBetween val="midCat"/>
      </c:valAx>
      <c:valAx>
        <c:axId val="55997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fr-FR"/>
          </a:p>
        </c:txPr>
        <c:crossAx val="559977584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fr-F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800">
              <a:solidFill>
                <a:srgbClr val="004586"/>
              </a:solidFill>
            </a:ln>
          </c:spPr>
          <c:marker>
            <c:symbol val="square"/>
            <c:size val="7"/>
          </c:marker>
          <c:xVal>
            <c:numRef>
              <c:f>Sheet3!$A$15:$A$37</c:f>
              <c:numCache>
                <c:formatCode>General</c:formatCode>
                <c:ptCount val="23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5.0000000000000001E-3</c:v>
                </c:pt>
                <c:pt idx="8">
                  <c:v>4.0000000000000001E-3</c:v>
                </c:pt>
                <c:pt idx="9">
                  <c:v>3.0000000000000001E-3</c:v>
                </c:pt>
                <c:pt idx="10">
                  <c:v>2E-3</c:v>
                </c:pt>
                <c:pt idx="11">
                  <c:v>1E-3</c:v>
                </c:pt>
                <c:pt idx="12">
                  <c:v>0</c:v>
                </c:pt>
                <c:pt idx="13">
                  <c:v>-1E-3</c:v>
                </c:pt>
                <c:pt idx="14">
                  <c:v>-2E-3</c:v>
                </c:pt>
                <c:pt idx="15">
                  <c:v>-3.0000000000000001E-3</c:v>
                </c:pt>
                <c:pt idx="16">
                  <c:v>-4.0000000000000001E-3</c:v>
                </c:pt>
                <c:pt idx="17">
                  <c:v>-5.0000000000000001E-3</c:v>
                </c:pt>
                <c:pt idx="18">
                  <c:v>-6.0000000000000001E-3</c:v>
                </c:pt>
                <c:pt idx="19">
                  <c:v>-7.0000000000000001E-3</c:v>
                </c:pt>
                <c:pt idx="20">
                  <c:v>-8.0000000000000002E-3</c:v>
                </c:pt>
                <c:pt idx="21">
                  <c:v>-8.9999999999999993E-3</c:v>
                </c:pt>
                <c:pt idx="22">
                  <c:v>-0.01</c:v>
                </c:pt>
              </c:numCache>
            </c:numRef>
          </c:xVal>
          <c:yVal>
            <c:numRef>
              <c:f>Sheet3!$B$15:$B$37</c:f>
              <c:numCache>
                <c:formatCode>0.00E+00</c:formatCode>
                <c:ptCount val="23"/>
                <c:pt idx="0" formatCode="General">
                  <c:v>0</c:v>
                </c:pt>
                <c:pt idx="1">
                  <c:v>165992000</c:v>
                </c:pt>
                <c:pt idx="2">
                  <c:v>334566000</c:v>
                </c:pt>
                <c:pt idx="3">
                  <c:v>502166000</c:v>
                </c:pt>
                <c:pt idx="4">
                  <c:v>662898000</c:v>
                </c:pt>
                <c:pt idx="5">
                  <c:v>808527000</c:v>
                </c:pt>
                <c:pt idx="6">
                  <c:v>928481000</c:v>
                </c:pt>
                <c:pt idx="7">
                  <c:v>740281000</c:v>
                </c:pt>
                <c:pt idx="8">
                  <c:v>552081000</c:v>
                </c:pt>
                <c:pt idx="9">
                  <c:v>363882000</c:v>
                </c:pt>
                <c:pt idx="10">
                  <c:v>175711000</c:v>
                </c:pt>
                <c:pt idx="11">
                  <c:v>-12173800</c:v>
                </c:pt>
                <c:pt idx="12">
                  <c:v>-198202000</c:v>
                </c:pt>
                <c:pt idx="13">
                  <c:v>-376186000</c:v>
                </c:pt>
                <c:pt idx="14">
                  <c:v>-532419000</c:v>
                </c:pt>
                <c:pt idx="15">
                  <c:v>-657043000</c:v>
                </c:pt>
                <c:pt idx="16">
                  <c:v>-757707000</c:v>
                </c:pt>
                <c:pt idx="17">
                  <c:v>-846966000</c:v>
                </c:pt>
                <c:pt idx="18">
                  <c:v>-931788000</c:v>
                </c:pt>
                <c:pt idx="19">
                  <c:v>-1014940000</c:v>
                </c:pt>
                <c:pt idx="20">
                  <c:v>-1097440000</c:v>
                </c:pt>
                <c:pt idx="21">
                  <c:v>-1179660000</c:v>
                </c:pt>
                <c:pt idx="22">
                  <c:v>-1261770000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2E-4458-BDA4-CAD84D680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977256"/>
        <c:axId val="559974304"/>
      </c:scatterChart>
      <c:valAx>
        <c:axId val="559974304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fr-FR"/>
          </a:p>
        </c:txPr>
        <c:crossAx val="559977256"/>
        <c:crossesAt val="0"/>
        <c:crossBetween val="midCat"/>
      </c:valAx>
      <c:valAx>
        <c:axId val="559977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fr-FR"/>
          </a:p>
        </c:txPr>
        <c:crossAx val="559974304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fr-F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800">
              <a:solidFill>
                <a:srgbClr val="004586"/>
              </a:solidFill>
            </a:ln>
          </c:spPr>
          <c:marker>
            <c:symbol val="square"/>
            <c:size val="7"/>
          </c:marker>
          <c:xVal>
            <c:numRef>
              <c:f>Sheet3!$A$15:$A$37</c:f>
              <c:numCache>
                <c:formatCode>General</c:formatCode>
                <c:ptCount val="23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5.0000000000000001E-3</c:v>
                </c:pt>
                <c:pt idx="8">
                  <c:v>4.0000000000000001E-3</c:v>
                </c:pt>
                <c:pt idx="9">
                  <c:v>3.0000000000000001E-3</c:v>
                </c:pt>
                <c:pt idx="10">
                  <c:v>2E-3</c:v>
                </c:pt>
                <c:pt idx="11">
                  <c:v>1E-3</c:v>
                </c:pt>
                <c:pt idx="12">
                  <c:v>0</c:v>
                </c:pt>
                <c:pt idx="13">
                  <c:v>-1E-3</c:v>
                </c:pt>
                <c:pt idx="14">
                  <c:v>-2E-3</c:v>
                </c:pt>
                <c:pt idx="15">
                  <c:v>-3.0000000000000001E-3</c:v>
                </c:pt>
                <c:pt idx="16">
                  <c:v>-4.0000000000000001E-3</c:v>
                </c:pt>
                <c:pt idx="17">
                  <c:v>-5.0000000000000001E-3</c:v>
                </c:pt>
                <c:pt idx="18">
                  <c:v>-6.0000000000000001E-3</c:v>
                </c:pt>
                <c:pt idx="19">
                  <c:v>-7.0000000000000001E-3</c:v>
                </c:pt>
                <c:pt idx="20">
                  <c:v>-8.0000000000000002E-3</c:v>
                </c:pt>
                <c:pt idx="21">
                  <c:v>-8.9999999999999993E-3</c:v>
                </c:pt>
                <c:pt idx="22">
                  <c:v>-0.01</c:v>
                </c:pt>
              </c:numCache>
            </c:numRef>
          </c:xVal>
          <c:yVal>
            <c:numRef>
              <c:f>Sheet3!$C$15:$C$37</c:f>
              <c:numCache>
                <c:formatCode>0.00E+00</c:formatCode>
                <c:ptCount val="23"/>
                <c:pt idx="0">
                  <c:v>164100000000</c:v>
                </c:pt>
                <c:pt idx="1">
                  <c:v>167681000000</c:v>
                </c:pt>
                <c:pt idx="2">
                  <c:v>168875000000</c:v>
                </c:pt>
                <c:pt idx="3">
                  <c:v>165344000000</c:v>
                </c:pt>
                <c:pt idx="4">
                  <c:v>154748000000</c:v>
                </c:pt>
                <c:pt idx="5">
                  <c:v>134749000000</c:v>
                </c:pt>
                <c:pt idx="6">
                  <c:v>103007000000</c:v>
                </c:pt>
                <c:pt idx="7">
                  <c:v>188200000000</c:v>
                </c:pt>
                <c:pt idx="8">
                  <c:v>188200000000</c:v>
                </c:pt>
                <c:pt idx="9">
                  <c:v>188195000000</c:v>
                </c:pt>
                <c:pt idx="10">
                  <c:v>188118000000</c:v>
                </c:pt>
                <c:pt idx="11">
                  <c:v>187444000000</c:v>
                </c:pt>
                <c:pt idx="12">
                  <c:v>183676000000</c:v>
                </c:pt>
                <c:pt idx="13">
                  <c:v>169820000000</c:v>
                </c:pt>
                <c:pt idx="14">
                  <c:v>140604000000</c:v>
                </c:pt>
                <c:pt idx="15">
                  <c:v>110299000000</c:v>
                </c:pt>
                <c:pt idx="16">
                  <c:v>93285800000</c:v>
                </c:pt>
                <c:pt idx="17">
                  <c:v>86336800000</c:v>
                </c:pt>
                <c:pt idx="18">
                  <c:v>83726400000</c:v>
                </c:pt>
                <c:pt idx="19">
                  <c:v>82727100000</c:v>
                </c:pt>
                <c:pt idx="20">
                  <c:v>82324700000</c:v>
                </c:pt>
                <c:pt idx="21">
                  <c:v>82153300000</c:v>
                </c:pt>
                <c:pt idx="22">
                  <c:v>82076300000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9F-4E15-A149-27D85D2EB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3962440"/>
        <c:axId val="553961456"/>
      </c:scatterChart>
      <c:valAx>
        <c:axId val="553961456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0.00E+00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fr-FR"/>
          </a:p>
        </c:txPr>
        <c:crossAx val="553962440"/>
        <c:crossesAt val="0"/>
        <c:crossBetween val="midCat"/>
      </c:valAx>
      <c:valAx>
        <c:axId val="553962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fr-FR"/>
          </a:p>
        </c:txPr>
        <c:crossAx val="553961456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fr-F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800">
              <a:solidFill>
                <a:srgbClr val="004586"/>
              </a:solidFill>
            </a:ln>
          </c:spPr>
          <c:marker>
            <c:symbol val="square"/>
            <c:size val="7"/>
          </c:marker>
          <c:xVal>
            <c:numRef>
              <c:f>Sheet4!$A$16:$A$22</c:f>
              <c:numCache>
                <c:formatCode>General</c:formatCode>
                <c:ptCount val="7"/>
                <c:pt idx="0">
                  <c:v>0</c:v>
                </c:pt>
                <c:pt idx="1">
                  <c:v>5.0000000000000001E-4</c:v>
                </c:pt>
                <c:pt idx="2">
                  <c:v>1E-3</c:v>
                </c:pt>
                <c:pt idx="3">
                  <c:v>1.5E-3</c:v>
                </c:pt>
                <c:pt idx="4">
                  <c:v>2E-3</c:v>
                </c:pt>
                <c:pt idx="5">
                  <c:v>2.5000000000000001E-3</c:v>
                </c:pt>
                <c:pt idx="6">
                  <c:v>3.0000000000000001E-3</c:v>
                </c:pt>
              </c:numCache>
            </c:numRef>
          </c:xVal>
          <c:yVal>
            <c:numRef>
              <c:f>Sheet4!$B$16:$B$22</c:f>
              <c:numCache>
                <c:formatCode>General</c:formatCode>
                <c:ptCount val="7"/>
                <c:pt idx="0">
                  <c:v>0</c:v>
                </c:pt>
                <c:pt idx="1">
                  <c:v>19693254.679199886</c:v>
                </c:pt>
                <c:pt idx="2">
                  <c:v>39748774.93289531</c:v>
                </c:pt>
                <c:pt idx="3">
                  <c:v>58923602.079481408</c:v>
                </c:pt>
                <c:pt idx="4">
                  <c:v>76277573.435945481</c:v>
                </c:pt>
                <c:pt idx="5">
                  <c:v>91173322.3178671</c:v>
                </c:pt>
                <c:pt idx="6">
                  <c:v>103276278.03941798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EB-4AAE-A8E3-AE6F4B132947}"/>
            </c:ext>
          </c:extLst>
        </c:ser>
        <c:ser>
          <c:idx val="1"/>
          <c:order val="1"/>
          <c:spPr>
            <a:ln w="28800">
              <a:solidFill>
                <a:srgbClr val="FFD320"/>
              </a:solidFill>
            </a:ln>
          </c:spPr>
          <c:marker>
            <c:symbol val="square"/>
            <c:size val="7"/>
          </c:marker>
          <c:xVal>
            <c:numRef>
              <c:f>Sheet4!$A$43:$A$53</c:f>
              <c:numCache>
                <c:formatCode>General</c:formatCode>
                <c:ptCount val="11"/>
                <c:pt idx="0">
                  <c:v>1E-3</c:v>
                </c:pt>
                <c:pt idx="1">
                  <c:v>1.2999999999999999E-3</c:v>
                </c:pt>
                <c:pt idx="2">
                  <c:v>1.6000000000000001E-3</c:v>
                </c:pt>
                <c:pt idx="3">
                  <c:v>1.9E-3</c:v>
                </c:pt>
                <c:pt idx="4">
                  <c:v>2.2000000000000001E-3</c:v>
                </c:pt>
                <c:pt idx="5">
                  <c:v>2.5000000000000001E-3</c:v>
                </c:pt>
                <c:pt idx="6">
                  <c:v>2.8E-3</c:v>
                </c:pt>
                <c:pt idx="7">
                  <c:v>3.0999999999999999E-3</c:v>
                </c:pt>
                <c:pt idx="8">
                  <c:v>3.3999999999999998E-3</c:v>
                </c:pt>
                <c:pt idx="9">
                  <c:v>3.7000000000000002E-3</c:v>
                </c:pt>
                <c:pt idx="10">
                  <c:v>4.0000000000000001E-3</c:v>
                </c:pt>
              </c:numCache>
            </c:numRef>
          </c:xVal>
          <c:yVal>
            <c:numRef>
              <c:f>Sheet4!$D$43:$D$53</c:f>
              <c:numCache>
                <c:formatCode>General</c:formatCode>
                <c:ptCount val="11"/>
                <c:pt idx="0">
                  <c:v>-9388745.5097302794</c:v>
                </c:pt>
                <c:pt idx="1">
                  <c:v>8427930.00767643</c:v>
                </c:pt>
                <c:pt idx="2">
                  <c:v>26244574.411617011</c:v>
                </c:pt>
                <c:pt idx="3">
                  <c:v>44058588.363256641</c:v>
                </c:pt>
                <c:pt idx="4">
                  <c:v>61814658.814901352</c:v>
                </c:pt>
                <c:pt idx="5">
                  <c:v>79000835.133401126</c:v>
                </c:pt>
                <c:pt idx="6">
                  <c:v>93581843.848390818</c:v>
                </c:pt>
                <c:pt idx="7">
                  <c:v>103780649.64663164</c:v>
                </c:pt>
                <c:pt idx="8">
                  <c:v>111341599.3972155</c:v>
                </c:pt>
                <c:pt idx="9">
                  <c:v>118066415.91016787</c:v>
                </c:pt>
                <c:pt idx="10">
                  <c:v>124565435.29929164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EB-4AAE-A8E3-AE6F4B132947}"/>
            </c:ext>
          </c:extLst>
        </c:ser>
        <c:ser>
          <c:idx val="2"/>
          <c:order val="2"/>
          <c:spPr>
            <a:ln w="28800">
              <a:solidFill>
                <a:srgbClr val="FF420E"/>
              </a:solidFill>
            </a:ln>
          </c:spPr>
          <c:marker>
            <c:symbol val="diamond"/>
            <c:size val="7"/>
          </c:marker>
          <c:xVal>
            <c:numRef>
              <c:f>Sheet4!$A$27:$A$37</c:f>
              <c:numCache>
                <c:formatCode>General</c:formatCode>
                <c:ptCount val="11"/>
                <c:pt idx="0">
                  <c:v>3.0000000000000001E-3</c:v>
                </c:pt>
                <c:pt idx="1">
                  <c:v>2.8E-3</c:v>
                </c:pt>
                <c:pt idx="2">
                  <c:v>2.5999999999999999E-3</c:v>
                </c:pt>
                <c:pt idx="3">
                  <c:v>2.3999999999999998E-3</c:v>
                </c:pt>
                <c:pt idx="4">
                  <c:v>2.2000000000000001E-3</c:v>
                </c:pt>
                <c:pt idx="5">
                  <c:v>2E-3</c:v>
                </c:pt>
                <c:pt idx="6">
                  <c:v>1.8E-3</c:v>
                </c:pt>
                <c:pt idx="7">
                  <c:v>1.6000000000000001E-3</c:v>
                </c:pt>
                <c:pt idx="8">
                  <c:v>1.4E-3</c:v>
                </c:pt>
                <c:pt idx="9">
                  <c:v>1.1999999999999999E-3</c:v>
                </c:pt>
                <c:pt idx="10">
                  <c:v>1E-3</c:v>
                </c:pt>
              </c:numCache>
            </c:numRef>
          </c:xVal>
          <c:yVal>
            <c:numRef>
              <c:f>Sheet4!$D$27:$D$37</c:f>
              <c:numCache>
                <c:formatCode>General</c:formatCode>
                <c:ptCount val="11"/>
                <c:pt idx="0">
                  <c:v>103276278.03941798</c:v>
                </c:pt>
                <c:pt idx="1">
                  <c:v>91398494.351091519</c:v>
                </c:pt>
                <c:pt idx="2">
                  <c:v>79520710.832051039</c:v>
                </c:pt>
                <c:pt idx="3">
                  <c:v>67642941.631296605</c:v>
                </c:pt>
                <c:pt idx="4">
                  <c:v>55765490.30844681</c:v>
                </c:pt>
                <c:pt idx="5">
                  <c:v>43891398.121645801</c:v>
                </c:pt>
                <c:pt idx="6">
                  <c:v>32039524.256476864</c:v>
                </c:pt>
                <c:pt idx="7">
                  <c:v>20293646.181959987</c:v>
                </c:pt>
                <c:pt idx="8">
                  <c:v>8936895.8081108332</c:v>
                </c:pt>
                <c:pt idx="9">
                  <c:v>-1324969.2642949522</c:v>
                </c:pt>
                <c:pt idx="10">
                  <c:v>-9388745.5097302794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EB-4AAE-A8E3-AE6F4B132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365264"/>
        <c:axId val="561360344"/>
      </c:scatterChart>
      <c:valAx>
        <c:axId val="561360344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fr-FR"/>
          </a:p>
        </c:txPr>
        <c:crossAx val="561365264"/>
        <c:crossesAt val="0"/>
        <c:crossBetween val="midCat"/>
      </c:valAx>
      <c:valAx>
        <c:axId val="56136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fr-FR"/>
          </a:p>
        </c:txPr>
        <c:crossAx val="561360344"/>
        <c:crossesAt val="0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fr-F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Feuil1!$A$2:$A$12</c:f>
              <c:numCache>
                <c:formatCode>General</c:formatCode>
                <c:ptCount val="11"/>
                <c:pt idx="0">
                  <c:v>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3000</c:v>
                </c:pt>
                <c:pt idx="6">
                  <c:v>4000</c:v>
                </c:pt>
                <c:pt idx="7">
                  <c:v>5000</c:v>
                </c:pt>
                <c:pt idx="8">
                  <c:v>6000</c:v>
                </c:pt>
                <c:pt idx="9">
                  <c:v>8760</c:v>
                </c:pt>
                <c:pt idx="10">
                  <c:v>87600</c:v>
                </c:pt>
              </c:numCache>
            </c:numRef>
          </c:xVal>
          <c:yVal>
            <c:numRef>
              <c:f>Feuil1!$D$2:$D$12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54-43ED-A40B-6D2F7AA12DA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Feuil1!$A$2:$A$12</c:f>
              <c:numCache>
                <c:formatCode>General</c:formatCode>
                <c:ptCount val="11"/>
                <c:pt idx="0">
                  <c:v>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3000</c:v>
                </c:pt>
                <c:pt idx="6">
                  <c:v>4000</c:v>
                </c:pt>
                <c:pt idx="7">
                  <c:v>5000</c:v>
                </c:pt>
                <c:pt idx="8">
                  <c:v>6000</c:v>
                </c:pt>
                <c:pt idx="9">
                  <c:v>8760</c:v>
                </c:pt>
                <c:pt idx="10">
                  <c:v>87600</c:v>
                </c:pt>
              </c:numCache>
            </c:numRef>
          </c:xVal>
          <c:yVal>
            <c:numRef>
              <c:f>Feuil1!$E$2:$E$12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54-43ED-A40B-6D2F7AA12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3473872"/>
        <c:axId val="274703704"/>
      </c:scatterChart>
      <c:valAx>
        <c:axId val="55347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4703704"/>
        <c:crosses val="autoZero"/>
        <c:crossBetween val="midCat"/>
      </c:valAx>
      <c:valAx>
        <c:axId val="274703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53473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9059418" y="248442"/>
    <xdr:ext cx="5758891" cy="324182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B8E0AAD-5E13-4F0B-AEAC-3BD6D9041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8986723" y="3831884"/>
    <xdr:ext cx="5759622" cy="3239627"/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7DDACB0-7317-4255-AE21-FAFA5DB10A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  <xdr:absoluteAnchor>
    <xdr:pos x="227868" y="7821686"/>
    <xdr:ext cx="5758891" cy="3241822"/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888E225-8EF7-4611-9461-6CF4CD2A30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absoluteAnchor>
  <xdr:absoluteAnchor>
    <xdr:pos x="6135806" y="7860273"/>
    <xdr:ext cx="5758891" cy="3241822"/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F2008242-D38A-4CF1-86A7-278D13DE0B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absoluteAnchor>
  <xdr:absoluteAnchor>
    <xdr:pos x="12063587" y="7908462"/>
    <xdr:ext cx="5758891" cy="3241822"/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FF4E5197-9BA8-42F5-8C96-FC71EE6313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6106363" y="28437"/>
    <xdr:ext cx="5758891" cy="3241456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AD39390-20C1-4727-814A-E5C52FED24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4100443" y="3804086"/>
    <xdr:ext cx="5759622" cy="3239627"/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4FD474B-6715-4B23-91F0-D83122459F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  <xdr:absoluteAnchor>
    <xdr:pos x="10457627" y="3806647"/>
    <xdr:ext cx="5759622" cy="3239627"/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E6F58DFE-E146-4DEC-BC4F-39543EC28B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8177387" y="3652205"/>
    <xdr:ext cx="5758891" cy="324182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BD60879-525B-4B6E-A416-58CA7DED92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214312</xdr:colOff>
      <xdr:row>4</xdr:row>
      <xdr:rowOff>104775</xdr:rowOff>
    </xdr:from>
    <xdr:to>
      <xdr:col>12</xdr:col>
      <xdr:colOff>595312</xdr:colOff>
      <xdr:row>19</xdr:row>
      <xdr:rowOff>133350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834720B-1539-4228-92B4-4A996DD089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opLeftCell="A13" workbookViewId="0">
      <selection activeCell="H41" sqref="H41"/>
    </sheetView>
  </sheetViews>
  <sheetFormatPr baseColWidth="10" defaultRowHeight="14.25"/>
  <cols>
    <col min="1" max="11" width="10.625" customWidth="1"/>
  </cols>
  <sheetData>
    <row r="1" spans="1:11">
      <c r="A1">
        <v>40488</v>
      </c>
      <c r="B1" t="s">
        <v>0</v>
      </c>
    </row>
    <row r="2" spans="1:11">
      <c r="A2">
        <v>1.1594</v>
      </c>
      <c r="B2" t="s">
        <v>1</v>
      </c>
    </row>
    <row r="4" spans="1:11">
      <c r="A4" s="1"/>
      <c r="B4" s="1" t="s">
        <v>2</v>
      </c>
      <c r="C4" s="1" t="s">
        <v>3</v>
      </c>
      <c r="D4" t="s">
        <v>4</v>
      </c>
      <c r="E4" s="1"/>
    </row>
    <row r="5" spans="1:11">
      <c r="A5" s="1">
        <f>0*A1/A2*6894.75728/1000000</f>
        <v>0</v>
      </c>
      <c r="B5" s="2">
        <v>0</v>
      </c>
      <c r="C5" s="1">
        <f>C6-(C7-C6)/(A7-A6)*A6</f>
        <v>0.20221866666666669</v>
      </c>
    </row>
    <row r="6" spans="1:11">
      <c r="A6" s="3">
        <f>0.25*A1/A2*6894.75728</f>
        <v>60193835.766913921</v>
      </c>
      <c r="B6" s="2">
        <v>4.4509999999999999E-5</v>
      </c>
      <c r="C6" s="2">
        <v>0.221857</v>
      </c>
      <c r="H6" s="4"/>
      <c r="K6" s="4"/>
    </row>
    <row r="7" spans="1:11">
      <c r="A7" s="3">
        <f>0.4*A1/A2*6894.75728</f>
        <v>96310137.227062285</v>
      </c>
      <c r="B7" s="2">
        <v>7.1959999999999995E-5</v>
      </c>
      <c r="C7" s="2">
        <v>0.23363999999999999</v>
      </c>
      <c r="H7" s="4"/>
    </row>
    <row r="8" spans="1:11">
      <c r="A8" s="3">
        <f>0.7*A1/A2*6894.75728</f>
        <v>168542740.14735895</v>
      </c>
      <c r="B8" s="2">
        <v>3.9655000000000002E-4</v>
      </c>
      <c r="C8" s="2">
        <v>0.16245200000000001</v>
      </c>
      <c r="H8" s="4"/>
    </row>
    <row r="9" spans="1:11">
      <c r="H9" s="4"/>
    </row>
    <row r="10" spans="1:11">
      <c r="A10">
        <v>0</v>
      </c>
      <c r="B10">
        <f t="shared" ref="B10:B24" si="0">IF(A10&lt;$A$5,0,IF(A10&lt;$A$6,($B$6-$B$5)/($A$6-$A$5)*(A10-$A$5)+$B$5,IF(A10&lt;$A$7,($B$7-$B$6)/($A$7-$A$6)*(A10-$A$6)+$B$6,IF(A10&lt;$A$8,($B$8-$B$7)/($A$8-$A$7)*(A10-$A$7)+$B$7,($B$8-$B$7)/($A$8-$A$7)*(A10-$A$8)+$B$8))))</f>
        <v>0</v>
      </c>
      <c r="C10">
        <f t="shared" ref="C10:C24" si="1">IF(A10&lt;$A$5,0,IF(A10&lt;$A$6,($C$6-$C$5)/($A$6-$A$5)*(A10-$A$5)+$C$5,IF(A10&lt;$A$7,($C$7-$C$6)/($A$7-$A$6)*(A10-$A$6)+$C$6,IF(A10&lt;$A$8,($C$8-$C$7)/($A$8-$A$7)*(A10-$A$7)+$C$7,($C$8-$C$7)/($A$8-$A$7)*(A10-$A$8)+$C$8))))</f>
        <v>0.20221866666666669</v>
      </c>
    </row>
    <row r="11" spans="1:11">
      <c r="A11" s="4">
        <v>15000000</v>
      </c>
      <c r="B11">
        <f t="shared" si="0"/>
        <v>1.109166730270045E-5</v>
      </c>
      <c r="C11">
        <f t="shared" si="1"/>
        <v>0.20711244019425296</v>
      </c>
    </row>
    <row r="12" spans="1:11">
      <c r="A12">
        <v>30000000</v>
      </c>
      <c r="B12">
        <f t="shared" si="0"/>
        <v>2.21833346054009E-5</v>
      </c>
      <c r="C12">
        <f t="shared" si="1"/>
        <v>0.21200621372183925</v>
      </c>
    </row>
    <row r="13" spans="1:11">
      <c r="A13" s="4">
        <v>45000000</v>
      </c>
      <c r="B13">
        <f t="shared" si="0"/>
        <v>3.3275001908101351E-5</v>
      </c>
      <c r="C13">
        <f t="shared" si="1"/>
        <v>0.21689998724942552</v>
      </c>
    </row>
    <row r="14" spans="1:11">
      <c r="A14">
        <v>60000000</v>
      </c>
      <c r="B14">
        <f t="shared" si="0"/>
        <v>4.43666692108018E-5</v>
      </c>
      <c r="C14">
        <f t="shared" si="1"/>
        <v>0.22179376077701182</v>
      </c>
    </row>
    <row r="15" spans="1:11">
      <c r="A15" s="4">
        <v>75000000</v>
      </c>
      <c r="B15">
        <f t="shared" si="0"/>
        <v>5.5763345214395144E-5</v>
      </c>
      <c r="C15">
        <f t="shared" si="1"/>
        <v>0.22668753430459809</v>
      </c>
    </row>
    <row r="16" spans="1:11">
      <c r="A16">
        <v>90000000</v>
      </c>
      <c r="B16">
        <f t="shared" si="0"/>
        <v>6.7164014257274163E-5</v>
      </c>
      <c r="C16">
        <f t="shared" si="1"/>
        <v>0.23158130783218439</v>
      </c>
    </row>
    <row r="17" spans="1:7">
      <c r="A17" s="4">
        <v>105000000</v>
      </c>
      <c r="B17">
        <f t="shared" si="0"/>
        <v>1.1100943811287299E-4</v>
      </c>
      <c r="C17">
        <f t="shared" si="1"/>
        <v>0.2250758070169161</v>
      </c>
    </row>
    <row r="18" spans="1:7">
      <c r="A18">
        <v>120000000</v>
      </c>
      <c r="B18">
        <f t="shared" si="0"/>
        <v>1.7841459593852157E-4</v>
      </c>
      <c r="C18">
        <f t="shared" si="1"/>
        <v>0.21029273182885649</v>
      </c>
    </row>
    <row r="19" spans="1:7">
      <c r="A19" s="4">
        <v>135000000</v>
      </c>
      <c r="B19">
        <f t="shared" si="0"/>
        <v>2.4581975376417015E-4</v>
      </c>
      <c r="C19">
        <f t="shared" si="1"/>
        <v>0.19550965664079689</v>
      </c>
    </row>
    <row r="20" spans="1:7">
      <c r="A20">
        <v>150000000</v>
      </c>
      <c r="B20">
        <f t="shared" si="0"/>
        <v>3.1322491158981868E-4</v>
      </c>
      <c r="C20">
        <f t="shared" si="1"/>
        <v>0.18072658145273726</v>
      </c>
    </row>
    <row r="21" spans="1:7">
      <c r="A21" s="4">
        <v>165000000</v>
      </c>
      <c r="B21">
        <f t="shared" si="0"/>
        <v>3.8063006941546726E-4</v>
      </c>
      <c r="C21">
        <f t="shared" si="1"/>
        <v>0.16594350626467766</v>
      </c>
    </row>
    <row r="22" spans="1:7">
      <c r="A22">
        <v>180000000</v>
      </c>
      <c r="B22">
        <f t="shared" si="0"/>
        <v>4.4803522724111579E-4</v>
      </c>
      <c r="C22">
        <f t="shared" si="1"/>
        <v>0.15116043107661806</v>
      </c>
    </row>
    <row r="23" spans="1:7">
      <c r="A23" s="4">
        <v>195000000</v>
      </c>
      <c r="B23">
        <f t="shared" si="0"/>
        <v>5.1544038506676432E-4</v>
      </c>
      <c r="C23">
        <f t="shared" si="1"/>
        <v>0.13637735588855845</v>
      </c>
    </row>
    <row r="24" spans="1:7">
      <c r="A24">
        <v>210000000</v>
      </c>
      <c r="B24">
        <f t="shared" si="0"/>
        <v>5.828455428924129E-4</v>
      </c>
      <c r="C24">
        <f t="shared" si="1"/>
        <v>0.12159428070049884</v>
      </c>
    </row>
    <row r="26" spans="1:7">
      <c r="B26" s="1" t="s">
        <v>5</v>
      </c>
      <c r="C26" s="1" t="s">
        <v>6</v>
      </c>
      <c r="D26" s="1" t="s">
        <v>5</v>
      </c>
      <c r="E26" s="1" t="s">
        <v>6</v>
      </c>
      <c r="F26" s="1" t="s">
        <v>5</v>
      </c>
      <c r="G26" s="1" t="s">
        <v>6</v>
      </c>
    </row>
    <row r="27" spans="1:7">
      <c r="A27" s="1" t="s">
        <v>7</v>
      </c>
      <c r="B27" s="5">
        <f>A6</f>
        <v>60193835.766913921</v>
      </c>
      <c r="C27" s="5">
        <f>A6</f>
        <v>60193835.766913921</v>
      </c>
      <c r="D27" s="5">
        <f>A7</f>
        <v>96310137.227062285</v>
      </c>
      <c r="E27" s="5">
        <f>A7</f>
        <v>96310137.227062285</v>
      </c>
      <c r="F27" s="5">
        <f>A8</f>
        <v>168542740.14735895</v>
      </c>
      <c r="G27" s="5">
        <f>A8</f>
        <v>168542740.14735895</v>
      </c>
    </row>
    <row r="28" spans="1:7">
      <c r="A28" s="1">
        <v>0</v>
      </c>
      <c r="B28">
        <f t="shared" ref="B28:B41" si="2">($B$6*A28^$C$6)/100</f>
        <v>0</v>
      </c>
      <c r="C28">
        <v>0</v>
      </c>
      <c r="D28">
        <f t="shared" ref="D28:D40" si="3">($B$7*A28^$C$7)/100</f>
        <v>0</v>
      </c>
      <c r="E28">
        <v>0</v>
      </c>
      <c r="F28">
        <f t="shared" ref="F28:F40" si="4">($B$8*A28^$C$8)/100</f>
        <v>0</v>
      </c>
      <c r="G28">
        <v>0</v>
      </c>
    </row>
    <row r="29" spans="1:7">
      <c r="A29" s="1">
        <v>100</v>
      </c>
      <c r="B29">
        <f t="shared" si="2"/>
        <v>1.2364358656610013E-6</v>
      </c>
      <c r="C29">
        <v>1.23645E-4</v>
      </c>
      <c r="D29">
        <f t="shared" si="3"/>
        <v>2.1104309858960251E-6</v>
      </c>
      <c r="E29">
        <v>2.1104300000000001E-4</v>
      </c>
      <c r="F29">
        <f t="shared" si="4"/>
        <v>8.3791883784957982E-6</v>
      </c>
      <c r="G29">
        <v>8.3791099999999999E-4</v>
      </c>
    </row>
    <row r="30" spans="1:7">
      <c r="A30" s="1">
        <v>500</v>
      </c>
      <c r="B30">
        <f t="shared" si="2"/>
        <v>1.7670261740470337E-6</v>
      </c>
      <c r="C30">
        <v>1.76706E-4</v>
      </c>
      <c r="D30">
        <f t="shared" si="3"/>
        <v>3.0738205269618879E-6</v>
      </c>
      <c r="E30">
        <v>3.0738199999999998E-4</v>
      </c>
      <c r="F30">
        <f t="shared" si="4"/>
        <v>1.0883060146504379E-5</v>
      </c>
      <c r="G30">
        <v>1.08829E-3</v>
      </c>
    </row>
    <row r="31" spans="1:7">
      <c r="A31" s="1">
        <v>1000</v>
      </c>
      <c r="B31">
        <f t="shared" si="2"/>
        <v>2.0607655911939774E-6</v>
      </c>
      <c r="C31">
        <v>2.0608099999999999E-4</v>
      </c>
      <c r="D31">
        <f t="shared" si="3"/>
        <v>3.6141914542114365E-6</v>
      </c>
      <c r="E31">
        <v>3.6141899999999998E-4</v>
      </c>
      <c r="F31">
        <f t="shared" si="4"/>
        <v>1.2180186950314364E-5</v>
      </c>
      <c r="G31">
        <v>1.2179999999999999E-3</v>
      </c>
    </row>
    <row r="32" spans="1:7">
      <c r="A32" s="1">
        <v>2000</v>
      </c>
      <c r="B32">
        <f t="shared" si="2"/>
        <v>2.403334418144293E-6</v>
      </c>
      <c r="C32">
        <v>2.40339E-4</v>
      </c>
      <c r="D32">
        <f t="shared" si="3"/>
        <v>4.2495584088657285E-6</v>
      </c>
      <c r="E32">
        <v>4.2495599999999999E-4</v>
      </c>
      <c r="F32">
        <f t="shared" si="4"/>
        <v>1.3631915302081685E-5</v>
      </c>
      <c r="G32">
        <v>1.3631699999999999E-3</v>
      </c>
    </row>
    <row r="33" spans="1:7">
      <c r="A33" s="1">
        <v>3000</v>
      </c>
      <c r="B33">
        <f t="shared" si="2"/>
        <v>2.6295490996619722E-6</v>
      </c>
      <c r="C33">
        <v>2.6296099999999998E-4</v>
      </c>
      <c r="D33">
        <f t="shared" si="3"/>
        <v>4.6718163756668831E-6</v>
      </c>
      <c r="E33">
        <v>4.6718200000000001E-4</v>
      </c>
      <c r="F33">
        <f t="shared" si="4"/>
        <v>1.4560063072201888E-5</v>
      </c>
      <c r="G33">
        <v>1.4559799999999999E-3</v>
      </c>
    </row>
    <row r="34" spans="1:7">
      <c r="A34" s="1">
        <v>4000</v>
      </c>
      <c r="B34">
        <f t="shared" si="2"/>
        <v>2.802849751625767E-6</v>
      </c>
      <c r="C34">
        <v>2.8029200000000002E-4</v>
      </c>
      <c r="D34">
        <f t="shared" si="3"/>
        <v>4.9966214848188151E-6</v>
      </c>
      <c r="E34">
        <v>4.99662E-4</v>
      </c>
      <c r="F34">
        <f t="shared" si="4"/>
        <v>1.5256671803246229E-5</v>
      </c>
      <c r="G34">
        <v>1.52564E-3</v>
      </c>
    </row>
    <row r="35" spans="1:7">
      <c r="A35" s="1">
        <v>5000</v>
      </c>
      <c r="B35">
        <f t="shared" si="2"/>
        <v>2.9450995715564708E-6</v>
      </c>
      <c r="C35">
        <v>2.94517E-4</v>
      </c>
      <c r="D35">
        <f t="shared" si="3"/>
        <v>5.2640318278916143E-6</v>
      </c>
      <c r="E35">
        <v>5.2640300000000005E-4</v>
      </c>
      <c r="F35">
        <f t="shared" si="4"/>
        <v>1.5819874334861932E-5</v>
      </c>
      <c r="G35">
        <v>1.5819600000000001E-3</v>
      </c>
    </row>
    <row r="36" spans="1:7">
      <c r="A36" s="1">
        <v>6000</v>
      </c>
      <c r="B36">
        <f t="shared" si="2"/>
        <v>3.0666689517833127E-6</v>
      </c>
      <c r="C36">
        <v>3.0667500000000001E-4</v>
      </c>
      <c r="D36">
        <f t="shared" si="3"/>
        <v>5.4931114788503867E-6</v>
      </c>
      <c r="E36">
        <v>5.4931100000000003E-4</v>
      </c>
      <c r="F36">
        <f t="shared" si="4"/>
        <v>1.6295443362476526E-5</v>
      </c>
      <c r="G36">
        <v>1.62952E-3</v>
      </c>
    </row>
    <row r="37" spans="1:7">
      <c r="A37" s="1">
        <v>7000</v>
      </c>
      <c r="B37">
        <f t="shared" si="2"/>
        <v>3.1733612199876193E-6</v>
      </c>
      <c r="C37">
        <v>3.1734500000000002E-4</v>
      </c>
      <c r="D37">
        <f t="shared" si="3"/>
        <v>5.6945559030023305E-6</v>
      </c>
      <c r="E37">
        <v>5.6945599999999998E-4</v>
      </c>
      <c r="F37">
        <f t="shared" si="4"/>
        <v>1.6708667665384917E-5</v>
      </c>
      <c r="G37">
        <v>1.67084E-3</v>
      </c>
    </row>
    <row r="38" spans="1:7">
      <c r="A38" s="1">
        <v>8000</v>
      </c>
      <c r="B38">
        <f t="shared" si="2"/>
        <v>3.2687780239316502E-6</v>
      </c>
      <c r="C38">
        <v>3.2688699999999999E-4</v>
      </c>
      <c r="D38">
        <f t="shared" si="3"/>
        <v>5.8750166159539508E-6</v>
      </c>
      <c r="E38">
        <v>5.8750199999999995E-4</v>
      </c>
      <c r="F38">
        <f t="shared" si="4"/>
        <v>1.70750792793162E-5</v>
      </c>
      <c r="G38">
        <v>1.7074799999999999E-3</v>
      </c>
    </row>
    <row r="39" spans="1:7">
      <c r="A39" s="1">
        <v>9000</v>
      </c>
      <c r="B39">
        <f t="shared" si="2"/>
        <v>3.3553202252017962E-6</v>
      </c>
      <c r="C39">
        <v>3.3554100000000002E-4</v>
      </c>
      <c r="D39">
        <f t="shared" si="3"/>
        <v>6.038935270713639E-6</v>
      </c>
      <c r="E39">
        <v>6.03894E-4</v>
      </c>
      <c r="F39">
        <f t="shared" si="4"/>
        <v>1.7404941117182575E-5</v>
      </c>
      <c r="G39">
        <v>1.7404600000000001E-3</v>
      </c>
    </row>
    <row r="40" spans="1:7">
      <c r="A40" s="1">
        <v>10000</v>
      </c>
      <c r="B40">
        <f t="shared" si="2"/>
        <v>3.4346745672722314E-6</v>
      </c>
      <c r="C40">
        <v>3.4347700000000002E-4</v>
      </c>
      <c r="D40">
        <f t="shared" si="3"/>
        <v>6.1894371126043211E-6</v>
      </c>
      <c r="E40">
        <v>6.1894399999999996E-4</v>
      </c>
      <c r="F40">
        <f t="shared" si="4"/>
        <v>1.7705408619926619E-5</v>
      </c>
      <c r="G40">
        <v>1.7705100000000001E-3</v>
      </c>
    </row>
    <row r="41" spans="1:7">
      <c r="A41" s="1">
        <v>10001</v>
      </c>
      <c r="B41">
        <f t="shared" si="2"/>
        <v>3.434750764967203E-6</v>
      </c>
      <c r="C41">
        <v>1.0003434769999999</v>
      </c>
      <c r="D41">
        <f t="shared" ref="D41" si="5">($B$7*A41^$C$7)/100</f>
        <v>6.1895817170721796E-6</v>
      </c>
      <c r="E41">
        <v>1.000618944</v>
      </c>
      <c r="F41">
        <f t="shared" ref="F41" si="6">($B$8*A41^$C$8)/100</f>
        <v>1.7705696235786364E-5</v>
      </c>
      <c r="G41">
        <v>1.0017705100000001</v>
      </c>
    </row>
  </sheetData>
  <pageMargins left="0" right="0" top="0.39370000000000011" bottom="0.39370000000000011" header="0" footer="0"/>
  <pageSetup orientation="portrait" horizontalDpi="90" verticalDpi="90" r:id="rId1"/>
  <headerFooter>
    <oddHeader>&amp;C&amp;A</oddHeader>
    <oddFooter>&amp;CPage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1"/>
  <sheetViews>
    <sheetView topLeftCell="A36" workbookViewId="0">
      <selection activeCell="E56" sqref="E56"/>
    </sheetView>
  </sheetViews>
  <sheetFormatPr baseColWidth="10" defaultRowHeight="14.25"/>
  <cols>
    <col min="1" max="21" width="10.625" customWidth="1"/>
  </cols>
  <sheetData>
    <row r="1" spans="1:13">
      <c r="A1" t="s">
        <v>8</v>
      </c>
      <c r="B1" s="6">
        <v>1.0654999999999999</v>
      </c>
      <c r="C1" t="s">
        <v>1</v>
      </c>
      <c r="D1" s="5">
        <f>B1*(25.4*25.4)/(1000^2)</f>
        <v>6.8741797999999994E-4</v>
      </c>
      <c r="E1" t="s">
        <v>9</v>
      </c>
    </row>
    <row r="2" spans="1:13">
      <c r="A2" t="s">
        <v>10</v>
      </c>
      <c r="B2" s="6">
        <v>9.3899999999999997E-2</v>
      </c>
      <c r="C2" t="s">
        <v>1</v>
      </c>
      <c r="D2" s="5">
        <f>B2*(25.4*25.4)/(1000^2)</f>
        <v>6.0580523999999999E-5</v>
      </c>
      <c r="E2" t="s">
        <v>9</v>
      </c>
    </row>
    <row r="3" spans="1:13">
      <c r="A3" t="s">
        <v>11</v>
      </c>
      <c r="B3" s="6">
        <v>1.1594</v>
      </c>
      <c r="C3" t="s">
        <v>1</v>
      </c>
      <c r="D3" s="5">
        <f>B3*(25.4*25.4)/(1000^2)</f>
        <v>7.4799850399999987E-4</v>
      </c>
      <c r="E3" t="s">
        <v>9</v>
      </c>
    </row>
    <row r="4" spans="1:13">
      <c r="A4" t="s">
        <v>12</v>
      </c>
      <c r="B4" s="6">
        <v>40488</v>
      </c>
      <c r="C4" t="s">
        <v>0</v>
      </c>
    </row>
    <row r="5" spans="1:13">
      <c r="A5" t="s">
        <v>13</v>
      </c>
      <c r="B5">
        <f>B1/B3</f>
        <v>0.9190098326720717</v>
      </c>
      <c r="C5" t="s">
        <v>14</v>
      </c>
    </row>
    <row r="6" spans="1:13">
      <c r="A6" t="s">
        <v>15</v>
      </c>
      <c r="B6">
        <f>B2/B3</f>
        <v>8.0990167327928242E-2</v>
      </c>
      <c r="C6" t="s">
        <v>14</v>
      </c>
    </row>
    <row r="9" spans="1:13">
      <c r="B9" s="15" t="s">
        <v>16</v>
      </c>
      <c r="C9" s="15"/>
      <c r="D9" s="15"/>
      <c r="E9" s="15" t="s">
        <v>17</v>
      </c>
      <c r="F9" s="15"/>
      <c r="G9" s="15"/>
      <c r="H9" s="15" t="s">
        <v>18</v>
      </c>
      <c r="I9" s="15"/>
      <c r="J9" s="15"/>
      <c r="K9" s="15" t="s">
        <v>19</v>
      </c>
      <c r="L9" s="15"/>
      <c r="M9" s="15"/>
    </row>
    <row r="10" spans="1:13">
      <c r="B10" s="1" t="s">
        <v>20</v>
      </c>
      <c r="C10" s="1" t="s">
        <v>21</v>
      </c>
      <c r="D10" s="1" t="s">
        <v>22</v>
      </c>
      <c r="E10" s="1" t="s">
        <v>20</v>
      </c>
      <c r="F10" s="1" t="s">
        <v>21</v>
      </c>
      <c r="G10" s="1" t="s">
        <v>22</v>
      </c>
      <c r="H10" s="1" t="s">
        <v>20</v>
      </c>
      <c r="I10" s="1" t="s">
        <v>21</v>
      </c>
      <c r="J10" s="1" t="s">
        <v>22</v>
      </c>
      <c r="K10" s="1" t="s">
        <v>20</v>
      </c>
      <c r="L10" s="1" t="s">
        <v>21</v>
      </c>
      <c r="M10" s="1" t="s">
        <v>22</v>
      </c>
    </row>
    <row r="11" spans="1:13">
      <c r="A11" t="s">
        <v>23</v>
      </c>
      <c r="B11" s="1">
        <v>0</v>
      </c>
      <c r="C11" s="1">
        <v>0</v>
      </c>
      <c r="D11" s="1">
        <v>0</v>
      </c>
      <c r="E11" s="3">
        <f t="shared" ref="E11:E18" si="0">B11/$B$6*1000000</f>
        <v>0</v>
      </c>
      <c r="F11" s="3">
        <f t="shared" ref="F11:F18" si="1">C11/$B$5*1000000</f>
        <v>0</v>
      </c>
      <c r="G11" s="3">
        <f t="shared" ref="G11:G18" si="2">D11*1000000</f>
        <v>0</v>
      </c>
      <c r="H11" s="5">
        <f>E11</f>
        <v>0</v>
      </c>
      <c r="I11" s="5">
        <f>F11</f>
        <v>0</v>
      </c>
      <c r="J11" s="5">
        <f>G11</f>
        <v>0</v>
      </c>
      <c r="K11" s="5">
        <f t="shared" ref="K11:K17" si="3">H11/$H$12</f>
        <v>0</v>
      </c>
      <c r="L11" s="5">
        <f t="shared" ref="L11:L17" si="4">I11/$I$12</f>
        <v>0</v>
      </c>
      <c r="M11" s="5">
        <f t="shared" ref="M11:M17" si="5">J11/$J$12</f>
        <v>0</v>
      </c>
    </row>
    <row r="12" spans="1:13">
      <c r="A12" t="s">
        <v>24</v>
      </c>
      <c r="B12" s="1">
        <v>132.87</v>
      </c>
      <c r="C12" s="1">
        <v>349.63</v>
      </c>
      <c r="D12" s="1">
        <v>482.51</v>
      </c>
      <c r="E12" s="3">
        <f t="shared" si="0"/>
        <v>1640569520.7667732</v>
      </c>
      <c r="F12" s="3">
        <f t="shared" si="1"/>
        <v>380442066.63538247</v>
      </c>
      <c r="G12" s="3">
        <f t="shared" si="2"/>
        <v>482510000</v>
      </c>
      <c r="H12" s="5">
        <f>E12*(100)</f>
        <v>164056952076.67731</v>
      </c>
      <c r="I12" s="5">
        <f>F12*(100)</f>
        <v>38044206663.538246</v>
      </c>
      <c r="J12" s="5">
        <f>G12*(100)</f>
        <v>48251000000</v>
      </c>
      <c r="K12" s="5">
        <f t="shared" si="3"/>
        <v>1</v>
      </c>
      <c r="L12" s="5">
        <f t="shared" si="4"/>
        <v>1</v>
      </c>
      <c r="M12" s="5">
        <f t="shared" si="5"/>
        <v>1</v>
      </c>
    </row>
    <row r="13" spans="1:13">
      <c r="A13" t="s">
        <v>25</v>
      </c>
      <c r="B13" s="1">
        <v>16.170000000000002</v>
      </c>
      <c r="C13" s="1">
        <v>346.06</v>
      </c>
      <c r="D13" s="1">
        <v>362.23</v>
      </c>
      <c r="E13" s="3">
        <f t="shared" si="0"/>
        <v>199653865.81469649</v>
      </c>
      <c r="F13" s="3">
        <f t="shared" si="1"/>
        <v>376557450.9619897</v>
      </c>
      <c r="G13" s="3">
        <f t="shared" si="2"/>
        <v>362230000</v>
      </c>
      <c r="H13" s="5">
        <f>E13*(100)^2</f>
        <v>1996538658146.9648</v>
      </c>
      <c r="I13" s="5">
        <f>F13*(100)^2</f>
        <v>3765574509619.897</v>
      </c>
      <c r="J13" s="5">
        <f>G13*(100)^2</f>
        <v>3622300000000</v>
      </c>
      <c r="K13" s="5">
        <f t="shared" si="3"/>
        <v>12.169790020320615</v>
      </c>
      <c r="L13" s="5">
        <f t="shared" si="4"/>
        <v>98.978920573177362</v>
      </c>
      <c r="M13" s="5">
        <f t="shared" si="5"/>
        <v>75.072019232762017</v>
      </c>
    </row>
    <row r="14" spans="1:13">
      <c r="A14" t="s">
        <v>26</v>
      </c>
      <c r="B14" s="1">
        <v>-0.64</v>
      </c>
      <c r="C14" s="1">
        <v>-2079.6</v>
      </c>
      <c r="D14" s="1">
        <v>-2080.25</v>
      </c>
      <c r="E14" s="3">
        <f t="shared" si="0"/>
        <v>-7902193.8232161868</v>
      </c>
      <c r="F14" s="3">
        <f t="shared" si="1"/>
        <v>-2262870239.3242612</v>
      </c>
      <c r="G14" s="3">
        <f t="shared" si="2"/>
        <v>-2080250000</v>
      </c>
      <c r="H14" s="5">
        <f>E14*(100^3)</f>
        <v>-7902193823216.1865</v>
      </c>
      <c r="I14" s="5">
        <f>F14*(100^3)</f>
        <v>-2262870239324261</v>
      </c>
      <c r="J14" s="5">
        <f>G14*(100^3)</f>
        <v>-2080250000000000</v>
      </c>
      <c r="K14" s="5">
        <f t="shared" si="3"/>
        <v>-48.167381651238053</v>
      </c>
      <c r="L14" s="5">
        <f t="shared" si="4"/>
        <v>-59480.02173726511</v>
      </c>
      <c r="M14" s="5">
        <f t="shared" si="5"/>
        <v>-43113.096101635201</v>
      </c>
    </row>
    <row r="15" spans="1:13">
      <c r="A15" t="s">
        <v>27</v>
      </c>
      <c r="B15" s="1">
        <v>-78.91</v>
      </c>
      <c r="C15" s="1">
        <v>1855.15</v>
      </c>
      <c r="D15" s="1">
        <v>1776.23</v>
      </c>
      <c r="E15" s="3">
        <f t="shared" si="0"/>
        <v>-974315804.04685831</v>
      </c>
      <c r="F15" s="3">
        <f t="shared" si="1"/>
        <v>2018639990.6147351</v>
      </c>
      <c r="G15" s="3">
        <f t="shared" si="2"/>
        <v>1776230000</v>
      </c>
      <c r="H15" s="5">
        <f>E15*100^4</f>
        <v>-9.7431580404685824E+16</v>
      </c>
      <c r="I15" s="5">
        <f>F15*100^4</f>
        <v>2.018639990614735E+17</v>
      </c>
      <c r="J15" s="5">
        <f>G15*100^4</f>
        <v>1.77623E+17</v>
      </c>
      <c r="K15" s="5">
        <f t="shared" si="3"/>
        <v>-593888.76345299918</v>
      </c>
      <c r="L15" s="5">
        <f t="shared" si="4"/>
        <v>5306037.811400624</v>
      </c>
      <c r="M15" s="5">
        <f t="shared" si="5"/>
        <v>3681229.4045719258</v>
      </c>
    </row>
    <row r="16" spans="1:13">
      <c r="A16" t="s">
        <v>28</v>
      </c>
      <c r="B16" s="1">
        <v>0</v>
      </c>
      <c r="C16" s="1">
        <v>0</v>
      </c>
      <c r="D16" s="1">
        <v>0</v>
      </c>
      <c r="E16" s="3">
        <f t="shared" si="0"/>
        <v>0</v>
      </c>
      <c r="F16" s="3">
        <f t="shared" si="1"/>
        <v>0</v>
      </c>
      <c r="G16" s="3">
        <f t="shared" si="2"/>
        <v>0</v>
      </c>
      <c r="H16" s="5">
        <f>E16*100^5</f>
        <v>0</v>
      </c>
      <c r="I16" s="5">
        <f>F16*100^5</f>
        <v>0</v>
      </c>
      <c r="J16" s="5">
        <f>G16*100^5</f>
        <v>0</v>
      </c>
      <c r="K16" s="5">
        <f t="shared" si="3"/>
        <v>0</v>
      </c>
      <c r="L16" s="5">
        <f t="shared" si="4"/>
        <v>0</v>
      </c>
      <c r="M16" s="5">
        <f t="shared" si="5"/>
        <v>0</v>
      </c>
    </row>
    <row r="17" spans="1:16">
      <c r="A17" t="s">
        <v>29</v>
      </c>
      <c r="B17" s="1">
        <v>0</v>
      </c>
      <c r="C17" s="1">
        <v>0</v>
      </c>
      <c r="D17" s="1">
        <v>0</v>
      </c>
      <c r="E17" s="3">
        <f t="shared" si="0"/>
        <v>0</v>
      </c>
      <c r="F17" s="3">
        <f t="shared" si="1"/>
        <v>0</v>
      </c>
      <c r="G17" s="3">
        <f t="shared" si="2"/>
        <v>0</v>
      </c>
      <c r="H17" s="5">
        <f>E17*100^6</f>
        <v>0</v>
      </c>
      <c r="I17" s="5">
        <f>F17*100^6</f>
        <v>0</v>
      </c>
      <c r="J17" s="5">
        <f>G17*100^6</f>
        <v>0</v>
      </c>
      <c r="K17" s="5">
        <f t="shared" si="3"/>
        <v>0</v>
      </c>
      <c r="L17" s="5">
        <f t="shared" si="4"/>
        <v>0</v>
      </c>
      <c r="M17" s="5">
        <f t="shared" si="5"/>
        <v>0</v>
      </c>
    </row>
    <row r="18" spans="1:16">
      <c r="A18" t="s">
        <v>30</v>
      </c>
      <c r="B18" s="1">
        <v>152.44</v>
      </c>
      <c r="C18" s="1">
        <v>545.79</v>
      </c>
      <c r="D18" s="1">
        <f>C18+B18</f>
        <v>698.23</v>
      </c>
      <c r="E18" s="3">
        <f t="shared" si="0"/>
        <v>1882203791.2673056</v>
      </c>
      <c r="F18" s="3">
        <f t="shared" si="1"/>
        <v>593889184.42045987</v>
      </c>
      <c r="G18" s="3">
        <f t="shared" si="2"/>
        <v>698230000</v>
      </c>
      <c r="H18" s="5">
        <f>E18*100</f>
        <v>188220379126.73056</v>
      </c>
      <c r="I18" s="5">
        <f>F18*100</f>
        <v>59388918442.04599</v>
      </c>
      <c r="J18" s="5">
        <f>G18*100</f>
        <v>69823000000</v>
      </c>
      <c r="K18" s="5"/>
      <c r="L18" s="5"/>
      <c r="M18" s="5"/>
    </row>
    <row r="21" spans="1:16">
      <c r="A21" s="15" t="s">
        <v>31</v>
      </c>
      <c r="B21" s="15"/>
      <c r="C21" s="15"/>
      <c r="D21" s="1" t="s">
        <v>7</v>
      </c>
      <c r="E21" s="1" t="s">
        <v>4</v>
      </c>
      <c r="F21" s="1" t="s">
        <v>32</v>
      </c>
      <c r="G21" s="1" t="s">
        <v>33</v>
      </c>
      <c r="H21" s="1" t="s">
        <v>34</v>
      </c>
      <c r="I21" s="1" t="s">
        <v>35</v>
      </c>
      <c r="J21" s="1" t="s">
        <v>36</v>
      </c>
      <c r="K21" s="1" t="s">
        <v>37</v>
      </c>
      <c r="L21" s="1" t="s">
        <v>38</v>
      </c>
      <c r="M21" s="1" t="s">
        <v>39</v>
      </c>
      <c r="N21" s="1" t="s">
        <v>40</v>
      </c>
      <c r="O21" s="1" t="s">
        <v>41</v>
      </c>
    </row>
    <row r="22" spans="1:16">
      <c r="A22" s="1" t="s">
        <v>42</v>
      </c>
      <c r="B22" s="1" t="s">
        <v>2</v>
      </c>
      <c r="C22" s="1" t="s">
        <v>3</v>
      </c>
      <c r="D22" s="1" t="s">
        <v>43</v>
      </c>
      <c r="E22" s="1" t="s">
        <v>44</v>
      </c>
      <c r="F22" s="1" t="s">
        <v>44</v>
      </c>
      <c r="G22" s="1" t="s">
        <v>44</v>
      </c>
      <c r="H22" s="1" t="s">
        <v>44</v>
      </c>
      <c r="I22" s="1" t="s">
        <v>42</v>
      </c>
      <c r="J22" s="1" t="s">
        <v>42</v>
      </c>
      <c r="K22" s="1" t="s">
        <v>45</v>
      </c>
      <c r="L22" s="1" t="s">
        <v>45</v>
      </c>
      <c r="M22" s="1" t="s">
        <v>45</v>
      </c>
      <c r="N22" s="1" t="s">
        <v>42</v>
      </c>
      <c r="O22" s="1" t="s">
        <v>42</v>
      </c>
    </row>
    <row r="23" spans="1:16">
      <c r="A23" s="1">
        <v>60193835.766913898</v>
      </c>
      <c r="B23" s="1">
        <v>4.4509999999999999E-5</v>
      </c>
      <c r="C23" s="1">
        <v>0.221857</v>
      </c>
      <c r="D23" s="1">
        <v>0</v>
      </c>
      <c r="E23" s="7">
        <v>1.2061837789596099E-3</v>
      </c>
      <c r="F23" s="8">
        <f>E23</f>
        <v>1.2061837789596099E-3</v>
      </c>
      <c r="G23" s="8">
        <f>E23</f>
        <v>1.2061837789596099E-3</v>
      </c>
      <c r="H23" s="1">
        <v>0</v>
      </c>
      <c r="I23" s="1">
        <f>$H$11+$H$12*F23+$H$13*F23^2+$H$14*F23^3+$H$15*F23^4</f>
        <v>200567459.15002412</v>
      </c>
      <c r="J23" s="1">
        <f>$I$11+$I$12*G23+$I$13*G23^2+$I$14*G23^3+$I$15*G23^4</f>
        <v>47823039.675244004</v>
      </c>
      <c r="K23" s="1">
        <f>I23*$D$2</f>
        <v>12150.481772657056</v>
      </c>
      <c r="L23" s="1">
        <f>J23*$D$1</f>
        <v>32874.417331016084</v>
      </c>
      <c r="M23" s="1">
        <f>L23+K23</f>
        <v>45024.899103673139</v>
      </c>
      <c r="N23">
        <f>M23/($D$1+$D$2)</f>
        <v>60193835.766913697</v>
      </c>
      <c r="O23" s="1">
        <f>ABS(A23-N23)</f>
        <v>2.0116567611694336E-7</v>
      </c>
    </row>
    <row r="24" spans="1:16">
      <c r="A24" s="1">
        <v>96310137.2270623</v>
      </c>
      <c r="B24" s="1">
        <v>7.1959999999999995E-5</v>
      </c>
      <c r="C24" s="1">
        <v>0.23363999999999999</v>
      </c>
      <c r="D24" s="1">
        <v>0</v>
      </c>
      <c r="E24" s="7">
        <v>1.97981468664648E-3</v>
      </c>
      <c r="F24" s="8">
        <f>E24</f>
        <v>1.97981468664648E-3</v>
      </c>
      <c r="G24" s="8">
        <f>E24</f>
        <v>1.97981468664648E-3</v>
      </c>
      <c r="H24" s="1">
        <v>0</v>
      </c>
      <c r="I24" s="1">
        <f>$H$11+$H$12*F24+$H$13*F24^2+$H$14*F24^3+$H$15*F24^4</f>
        <v>331069887.87997693</v>
      </c>
      <c r="J24" s="1">
        <f>$I$11+$I$12*G24+$I$13*G24^2+$I$14*G24^3+$I$15*G24^4</f>
        <v>75621314.527569532</v>
      </c>
      <c r="K24" s="1">
        <f>I24*$D$2</f>
        <v>20056.387288390251</v>
      </c>
      <c r="L24" s="1">
        <f>J24*$D$1</f>
        <v>51983.4512774865</v>
      </c>
      <c r="M24" s="1">
        <f>L24+K24</f>
        <v>72039.838565876751</v>
      </c>
      <c r="N24">
        <f>M24/($D$1+$D$2)</f>
        <v>96310137.227061555</v>
      </c>
      <c r="O24" s="1">
        <f>ABS(A24-N24)</f>
        <v>7.4505805969238281E-7</v>
      </c>
    </row>
    <row r="25" spans="1:16">
      <c r="A25" s="1">
        <v>168542740.14735901</v>
      </c>
      <c r="B25" s="1">
        <v>3.9655000000000002E-4</v>
      </c>
      <c r="C25" s="1">
        <v>0.16245200000000001</v>
      </c>
      <c r="D25" s="1">
        <v>0</v>
      </c>
      <c r="E25" s="7">
        <v>4.2400857314676401E-3</v>
      </c>
      <c r="F25" s="8">
        <f>E25</f>
        <v>4.2400857314676401E-3</v>
      </c>
      <c r="G25" s="8">
        <f>E25</f>
        <v>4.2400857314676401E-3</v>
      </c>
      <c r="H25" s="1">
        <v>0</v>
      </c>
      <c r="I25" s="1">
        <f>$H$11+$H$12*F25+$H$13*F25^2+$H$14*F25^3+$H$15*F25^4</f>
        <v>699415726.07563448</v>
      </c>
      <c r="J25" s="1">
        <f>$I$11+$I$12*G25+$I$13*G25^2+$I$14*G25^3+$I$15*G25^4</f>
        <v>121758156.96700689</v>
      </c>
      <c r="K25" s="1">
        <f>I25*$D$2</f>
        <v>42370.971179502398</v>
      </c>
      <c r="L25" s="1">
        <f>J25*$D$1</f>
        <v>83698.746310782793</v>
      </c>
      <c r="M25" s="1">
        <f>L25+K25</f>
        <v>126069.7174902852</v>
      </c>
      <c r="N25">
        <f>M25/($D$1+$D$2)</f>
        <v>168542740.14735889</v>
      </c>
      <c r="O25" s="1">
        <f>ABS(A25-N25)</f>
        <v>1.1920928955078125E-7</v>
      </c>
    </row>
    <row r="27" spans="1:16">
      <c r="A27" s="1"/>
      <c r="B27" s="8"/>
      <c r="C27" s="9"/>
      <c r="D27" s="9"/>
      <c r="E27" s="10"/>
      <c r="F27" s="9"/>
      <c r="G27" s="9"/>
      <c r="H27" s="9"/>
      <c r="I27" s="9"/>
      <c r="J27" s="10"/>
      <c r="K27" s="10"/>
      <c r="L27" s="10"/>
    </row>
    <row r="28" spans="1:16">
      <c r="A28" s="10" t="s">
        <v>7</v>
      </c>
      <c r="B28" s="9" t="s">
        <v>46</v>
      </c>
      <c r="C28" s="9" t="s">
        <v>47</v>
      </c>
      <c r="D28" s="1" t="s">
        <v>48</v>
      </c>
      <c r="E28" s="9" t="s">
        <v>32</v>
      </c>
      <c r="F28" s="9" t="s">
        <v>33</v>
      </c>
      <c r="G28" s="9" t="s">
        <v>35</v>
      </c>
      <c r="H28" s="9" t="s">
        <v>36</v>
      </c>
      <c r="I28" s="1" t="s">
        <v>37</v>
      </c>
      <c r="J28" s="1" t="s">
        <v>38</v>
      </c>
      <c r="K28" s="10" t="s">
        <v>39</v>
      </c>
      <c r="L28" s="10" t="s">
        <v>40</v>
      </c>
      <c r="M28" s="1" t="s">
        <v>41</v>
      </c>
      <c r="N28" s="1" t="s">
        <v>2</v>
      </c>
      <c r="O28" s="1" t="s">
        <v>3</v>
      </c>
      <c r="P28" t="s">
        <v>49</v>
      </c>
    </row>
    <row r="29" spans="1:16">
      <c r="A29" s="1" t="s">
        <v>43</v>
      </c>
      <c r="B29" s="9" t="s">
        <v>42</v>
      </c>
      <c r="C29" s="9" t="s">
        <v>44</v>
      </c>
      <c r="D29" s="1" t="s">
        <v>44</v>
      </c>
      <c r="E29" s="9" t="s">
        <v>44</v>
      </c>
      <c r="F29" s="9" t="s">
        <v>44</v>
      </c>
      <c r="G29" s="9" t="s">
        <v>42</v>
      </c>
      <c r="H29" s="10" t="s">
        <v>42</v>
      </c>
      <c r="I29" s="1" t="s">
        <v>45</v>
      </c>
      <c r="J29" s="1" t="s">
        <v>45</v>
      </c>
      <c r="K29" s="1" t="s">
        <v>45</v>
      </c>
      <c r="L29" s="1" t="s">
        <v>42</v>
      </c>
      <c r="M29" s="1" t="s">
        <v>42</v>
      </c>
      <c r="N29" s="1" t="s">
        <v>14</v>
      </c>
      <c r="O29" s="1" t="s">
        <v>14</v>
      </c>
      <c r="P29" t="s">
        <v>44</v>
      </c>
    </row>
    <row r="30" spans="1:16">
      <c r="A30" s="1">
        <v>1</v>
      </c>
      <c r="B30" s="8">
        <f>$A$23</f>
        <v>60193835.766913898</v>
      </c>
      <c r="C30" s="8">
        <f>$B$23*A30^$C$23</f>
        <v>4.4509999999999999E-5</v>
      </c>
      <c r="D30" s="6">
        <v>5.5619637895398E-5</v>
      </c>
      <c r="E30" s="8">
        <f>$F$23+C30</f>
        <v>1.2506937789596099E-3</v>
      </c>
      <c r="F30" s="8">
        <f>$G$23+C30-D30</f>
        <v>1.1950741410642119E-3</v>
      </c>
      <c r="G30" s="8">
        <f>$H$11+$H$12*E30+$H$13*E30^2+$H$14*E30^3+$H$15*E30^4</f>
        <v>208054206.57502747</v>
      </c>
      <c r="H30" s="1">
        <f>$J$23+(F30-$G$23)*$I$18</f>
        <v>47163250.296353549</v>
      </c>
      <c r="I30" s="1">
        <f>G30*$D$2</f>
        <v>12604.032854719409</v>
      </c>
      <c r="J30" s="1">
        <f>H30*$D$1</f>
        <v>32420.866248953756</v>
      </c>
      <c r="K30" s="1">
        <f>J30+I30</f>
        <v>45024.899103673168</v>
      </c>
      <c r="L30" s="1">
        <f>K30/($D$2+$D$1)</f>
        <v>60193835.766913742</v>
      </c>
      <c r="M30">
        <f>ABS(L30-B30)</f>
        <v>1.5646219253540039E-7</v>
      </c>
      <c r="N30">
        <f>$D$30/($A$30^O30)</f>
        <v>5.5619637895398E-5</v>
      </c>
      <c r="O30">
        <f>LOG($D$31/$D$30,$A$31/$A$30)</f>
        <v>0.22188456208060678</v>
      </c>
      <c r="P30">
        <f>N30*A30^O30</f>
        <v>5.5619637895398E-5</v>
      </c>
    </row>
    <row r="31" spans="1:16">
      <c r="A31" s="1">
        <v>1000</v>
      </c>
      <c r="B31" s="8">
        <f>$A$23</f>
        <v>60193835.766913898</v>
      </c>
      <c r="C31" s="8">
        <f>$B$23*A31^$C$23</f>
        <v>2.0607655911939775E-4</v>
      </c>
      <c r="D31" s="7">
        <v>2.5756203236780898E-4</v>
      </c>
      <c r="E31" s="8">
        <f>$F$23+C31</f>
        <v>1.4122603380790077E-3</v>
      </c>
      <c r="F31" s="8">
        <f>$G$23+C31-D31</f>
        <v>1.1546983057111988E-3</v>
      </c>
      <c r="G31" s="8">
        <f>$H$11+$H$12*E31+$H$13*E31^2+$H$14*E31^3+$H$15*E31^4</f>
        <v>235263345.54135934</v>
      </c>
      <c r="H31" s="1">
        <f>$J$23+(F31-$G$23)*$I$18</f>
        <v>44765373.103543974</v>
      </c>
      <c r="I31" s="1">
        <f>G31*$D$2</f>
        <v>14252.376750888612</v>
      </c>
      <c r="J31" s="1">
        <f>H31*$D$1</f>
        <v>30772.522352784526</v>
      </c>
      <c r="K31" s="1">
        <f>J31+I31</f>
        <v>45024.899103673139</v>
      </c>
      <c r="L31" s="1">
        <f>K31/($D$2+$D$1)</f>
        <v>60193835.766913697</v>
      </c>
      <c r="M31">
        <f>ABS(L31-B31)</f>
        <v>2.0116567611694336E-7</v>
      </c>
      <c r="N31">
        <f>$D$30/($A$30^O31)</f>
        <v>5.5619637895398E-5</v>
      </c>
      <c r="O31">
        <f>LOG($D$31/$D$30,$A$31/$A$30)</f>
        <v>0.22188456208060678</v>
      </c>
      <c r="P31">
        <f>N31*A31^O31</f>
        <v>2.5756203236780898E-4</v>
      </c>
    </row>
    <row r="32" spans="1:16">
      <c r="A32" s="1">
        <v>10000</v>
      </c>
      <c r="B32" s="8">
        <f>$A$23</f>
        <v>60193835.766913898</v>
      </c>
      <c r="C32" s="8">
        <f>$B$23*A32^$C$23</f>
        <v>3.4346745672722312E-4</v>
      </c>
      <c r="D32" s="7">
        <v>4.2933648589986E-4</v>
      </c>
      <c r="E32" s="8">
        <f>$F$23+C32</f>
        <v>1.5496512356868331E-3</v>
      </c>
      <c r="F32" s="8">
        <f>$G$23+C32-D32</f>
        <v>1.120314749786973E-3</v>
      </c>
      <c r="G32" s="8">
        <f>$H$11+$H$12*E32+$H$13*E32^2+$H$14*E32^3+$H$15*E32^4</f>
        <v>258434307.65568557</v>
      </c>
      <c r="H32" s="1">
        <f>$J$23+(F32-$G$23)*$I$18</f>
        <v>42723370.905012608</v>
      </c>
      <c r="I32" s="1">
        <f>G32*$D$2</f>
        <v>15656.085777358643</v>
      </c>
      <c r="J32" s="1">
        <f>H32*$D$1</f>
        <v>29368.813326314536</v>
      </c>
      <c r="K32" s="1">
        <f>J32+I32</f>
        <v>45024.899103673175</v>
      </c>
      <c r="L32" s="1">
        <f>K32/($D$2+$D$1)</f>
        <v>60193835.766913749</v>
      </c>
      <c r="M32">
        <f>ABS(L32-B32)</f>
        <v>1.4901161193847656E-7</v>
      </c>
      <c r="N32">
        <f>$D$30/($A$30^O32)</f>
        <v>5.5619637895398E-5</v>
      </c>
      <c r="O32">
        <f>LOG($D$31/$D$30,$A$31/$A$30)</f>
        <v>0.22188456208060678</v>
      </c>
      <c r="P32">
        <f>N32*A32^O32</f>
        <v>4.2930545354953506E-4</v>
      </c>
    </row>
    <row r="35" spans="1:16">
      <c r="A35" s="10" t="s">
        <v>7</v>
      </c>
      <c r="B35" s="9" t="s">
        <v>46</v>
      </c>
      <c r="C35" s="9" t="s">
        <v>47</v>
      </c>
      <c r="D35" s="1" t="s">
        <v>48</v>
      </c>
      <c r="E35" s="9" t="s">
        <v>32</v>
      </c>
      <c r="F35" s="9" t="s">
        <v>33</v>
      </c>
      <c r="G35" s="9" t="s">
        <v>35</v>
      </c>
      <c r="H35" s="9" t="s">
        <v>36</v>
      </c>
      <c r="I35" s="1" t="s">
        <v>37</v>
      </c>
      <c r="J35" s="1" t="s">
        <v>38</v>
      </c>
      <c r="K35" s="10" t="s">
        <v>39</v>
      </c>
      <c r="L35" s="10" t="s">
        <v>40</v>
      </c>
      <c r="M35" s="1" t="s">
        <v>41</v>
      </c>
      <c r="N35" s="1" t="s">
        <v>2</v>
      </c>
      <c r="O35" s="1" t="s">
        <v>3</v>
      </c>
      <c r="P35" t="s">
        <v>49</v>
      </c>
    </row>
    <row r="36" spans="1:16">
      <c r="A36" s="1" t="s">
        <v>43</v>
      </c>
      <c r="B36" s="9" t="s">
        <v>42</v>
      </c>
      <c r="C36" s="9" t="s">
        <v>44</v>
      </c>
      <c r="D36" s="1" t="s">
        <v>44</v>
      </c>
      <c r="E36" s="9" t="s">
        <v>44</v>
      </c>
      <c r="F36" s="9" t="s">
        <v>44</v>
      </c>
      <c r="G36" s="9" t="s">
        <v>42</v>
      </c>
      <c r="H36" s="10" t="s">
        <v>42</v>
      </c>
      <c r="I36" s="1" t="s">
        <v>45</v>
      </c>
      <c r="J36" s="1" t="s">
        <v>45</v>
      </c>
      <c r="K36" s="1" t="s">
        <v>45</v>
      </c>
      <c r="L36" s="1" t="s">
        <v>42</v>
      </c>
      <c r="M36" s="1" t="s">
        <v>42</v>
      </c>
      <c r="N36" s="1" t="s">
        <v>14</v>
      </c>
      <c r="O36" s="1" t="s">
        <v>14</v>
      </c>
      <c r="P36" t="s">
        <v>44</v>
      </c>
    </row>
    <row r="37" spans="1:16">
      <c r="A37" s="1">
        <v>1</v>
      </c>
      <c r="B37" s="8">
        <f>$A$24</f>
        <v>96310137.2270623</v>
      </c>
      <c r="C37" s="8">
        <f>$B$24*A37^$C$24</f>
        <v>7.1959999999999995E-5</v>
      </c>
      <c r="D37" s="7">
        <v>8.9986562270001801E-5</v>
      </c>
      <c r="E37" s="8">
        <f>$F$24+C37</f>
        <v>2.0517746866464798E-3</v>
      </c>
      <c r="F37" s="8">
        <f>$G$24+C37-D37</f>
        <v>1.9617881243764782E-3</v>
      </c>
      <c r="G37" s="8">
        <f>$H$11+$H$12*E37+$H$13*E37^2+$H$14*E37^3+$H$15*E37^4</f>
        <v>343217927.26050651</v>
      </c>
      <c r="H37" s="1">
        <f>$J$24+(F37-$G$24)*$I$18</f>
        <v>74550736.491125926</v>
      </c>
      <c r="I37" s="1">
        <f>G37*$D$2</f>
        <v>20792.321879635369</v>
      </c>
      <c r="J37" s="1">
        <f>H37*$D$1</f>
        <v>51247.516686242066</v>
      </c>
      <c r="K37" s="1">
        <f>J37+I37</f>
        <v>72039.838565877435</v>
      </c>
      <c r="L37" s="1">
        <f>K37/($D$2+$D$1)</f>
        <v>96310137.227062479</v>
      </c>
      <c r="M37">
        <f>ABS(L37-B37)</f>
        <v>1.7881393432617188E-7</v>
      </c>
      <c r="N37">
        <f>$D$37/($A$37^O37)</f>
        <v>8.9986562270001801E-5</v>
      </c>
      <c r="O37">
        <f>LOG($D$38/$D$37,$A$38/$A$37)</f>
        <v>0.23360541889118816</v>
      </c>
      <c r="P37">
        <f>N37*A37^O37</f>
        <v>8.9986562270001801E-5</v>
      </c>
    </row>
    <row r="38" spans="1:16">
      <c r="A38" s="1">
        <v>1000</v>
      </c>
      <c r="B38" s="8">
        <f>$A$24</f>
        <v>96310137.2270623</v>
      </c>
      <c r="C38" s="8">
        <f>$B$24*A38^$C$24</f>
        <v>3.6141914542114364E-4</v>
      </c>
      <c r="D38" s="7">
        <v>4.51849616048796E-4</v>
      </c>
      <c r="E38" s="8">
        <f>$F$24+C38</f>
        <v>2.3412338320676239E-3</v>
      </c>
      <c r="F38" s="8">
        <f>$G$24+C38-D38</f>
        <v>1.8893842160188279E-3</v>
      </c>
      <c r="G38" s="8">
        <f>$H$11+$H$12*E38+$H$13*E38^2+$H$14*E38^3+$H$15*E38^4</f>
        <v>392010676.36363763</v>
      </c>
      <c r="H38" s="1">
        <f>$J$24+(F38-$G$24)*$I$18</f>
        <v>70250746.682788059</v>
      </c>
      <c r="I38" s="1">
        <f>G38*$D$2</f>
        <v>23748.212187703582</v>
      </c>
      <c r="J38" s="1">
        <f>H38*$D$1</f>
        <v>48291.626378173867</v>
      </c>
      <c r="K38" s="1">
        <f>J38+I38</f>
        <v>72039.83856587745</v>
      </c>
      <c r="L38" s="1">
        <f>K38/($D$2+$D$1)</f>
        <v>96310137.227062494</v>
      </c>
      <c r="M38">
        <f>ABS(L38-B38)</f>
        <v>1.9371509552001953E-7</v>
      </c>
      <c r="N38">
        <f>$D$37/($A$37^O38)</f>
        <v>8.9986562270001801E-5</v>
      </c>
      <c r="O38">
        <f>LOG($D$38/$D$37,$A$38/$A$37)</f>
        <v>0.23360541889118816</v>
      </c>
      <c r="P38">
        <f>N38*A38^O38</f>
        <v>4.51849616048796E-4</v>
      </c>
    </row>
    <row r="39" spans="1:16">
      <c r="A39" s="1">
        <v>10000</v>
      </c>
      <c r="B39" s="8">
        <f>$A$24</f>
        <v>96310137.2270623</v>
      </c>
      <c r="C39" s="8">
        <f>$B$24*A39^$C$24</f>
        <v>6.1894371126043212E-4</v>
      </c>
      <c r="D39" s="7">
        <v>7.7353066762774403E-4</v>
      </c>
      <c r="E39" s="8">
        <f>$F$24+C39</f>
        <v>2.5987583979069119E-3</v>
      </c>
      <c r="F39" s="8">
        <f>$G$24+C39-D39</f>
        <v>1.8252277302791679E-3</v>
      </c>
      <c r="G39" s="8">
        <f>$H$11+$H$12*E39+$H$13*E39^2+$H$14*E39^3+$H$15*E39^4</f>
        <v>435245515.24237382</v>
      </c>
      <c r="H39" s="1">
        <f>$J$24+(F39-$G$24)*$I$18</f>
        <v>66440562.383667111</v>
      </c>
      <c r="I39" s="1">
        <f>G39*$D$2</f>
        <v>26367.401382032993</v>
      </c>
      <c r="J39" s="1">
        <f>H39*$D$1</f>
        <v>45672.437183844428</v>
      </c>
      <c r="K39" s="1">
        <f>J39+I39</f>
        <v>72039.83856587742</v>
      </c>
      <c r="L39" s="1">
        <f>K39/($D$2+$D$1)</f>
        <v>96310137.227062449</v>
      </c>
      <c r="M39">
        <f>ABS(L39-B39)</f>
        <v>1.4901161193847656E-7</v>
      </c>
      <c r="N39">
        <f>$D$37/($A$37^O39)</f>
        <v>8.9986562270001801E-5</v>
      </c>
      <c r="O39">
        <f>LOG($D$38/$D$37,$A$38/$A$37)</f>
        <v>0.23360541889118816</v>
      </c>
      <c r="P39">
        <f>N39*A39^O39</f>
        <v>7.7374763836286406E-4</v>
      </c>
    </row>
    <row r="42" spans="1:16">
      <c r="A42" s="10" t="s">
        <v>7</v>
      </c>
      <c r="B42" s="9" t="s">
        <v>46</v>
      </c>
      <c r="C42" s="9" t="s">
        <v>47</v>
      </c>
      <c r="D42" s="1" t="s">
        <v>48</v>
      </c>
      <c r="E42" s="9" t="s">
        <v>32</v>
      </c>
      <c r="F42" s="9" t="s">
        <v>33</v>
      </c>
      <c r="G42" s="9" t="s">
        <v>35</v>
      </c>
      <c r="H42" s="9" t="s">
        <v>36</v>
      </c>
      <c r="I42" s="1" t="s">
        <v>37</v>
      </c>
      <c r="J42" s="1" t="s">
        <v>38</v>
      </c>
      <c r="K42" s="10" t="s">
        <v>39</v>
      </c>
      <c r="L42" s="10" t="s">
        <v>40</v>
      </c>
      <c r="M42" s="1" t="s">
        <v>41</v>
      </c>
      <c r="N42" s="1" t="s">
        <v>2</v>
      </c>
      <c r="O42" s="1" t="s">
        <v>3</v>
      </c>
      <c r="P42" t="s">
        <v>49</v>
      </c>
    </row>
    <row r="43" spans="1:16">
      <c r="A43" s="1" t="s">
        <v>43</v>
      </c>
      <c r="B43" s="9" t="s">
        <v>42</v>
      </c>
      <c r="C43" s="9" t="s">
        <v>44</v>
      </c>
      <c r="D43" s="1" t="s">
        <v>44</v>
      </c>
      <c r="E43" s="9" t="s">
        <v>44</v>
      </c>
      <c r="F43" s="9" t="s">
        <v>44</v>
      </c>
      <c r="G43" s="9" t="s">
        <v>42</v>
      </c>
      <c r="H43" s="10" t="s">
        <v>42</v>
      </c>
      <c r="I43" s="1" t="s">
        <v>45</v>
      </c>
      <c r="J43" s="1" t="s">
        <v>45</v>
      </c>
      <c r="K43" s="1" t="s">
        <v>45</v>
      </c>
      <c r="L43" s="1" t="s">
        <v>42</v>
      </c>
      <c r="M43" s="1" t="s">
        <v>42</v>
      </c>
      <c r="N43" s="1" t="s">
        <v>14</v>
      </c>
      <c r="O43" s="1" t="s">
        <v>14</v>
      </c>
      <c r="P43" t="s">
        <v>44</v>
      </c>
    </row>
    <row r="44" spans="1:16">
      <c r="A44" s="1">
        <v>1</v>
      </c>
      <c r="B44" s="8">
        <f>$A$25</f>
        <v>168542740.14735901</v>
      </c>
      <c r="C44" s="8">
        <f>$B$25*A44^$C$25</f>
        <v>3.9655000000000002E-4</v>
      </c>
      <c r="D44" s="7">
        <v>4.83151219702076E-4</v>
      </c>
      <c r="E44" s="8">
        <f>$F$25+C44</f>
        <v>4.63663573146764E-3</v>
      </c>
      <c r="F44" s="8">
        <f>$G$25+C44-D44</f>
        <v>4.1534845117655638E-3</v>
      </c>
      <c r="G44" s="8">
        <f>$H$11+$H$12*E44+$H$13*E44^2+$H$14*E44^3+$H$15*E44^4</f>
        <v>757775995.30413961</v>
      </c>
      <c r="H44" s="1">
        <f>$J$25+(F44-$E$25)*$I$18</f>
        <v>116615004.19313857</v>
      </c>
      <c r="I44" s="1">
        <f>G44*$D$2</f>
        <v>45906.466870146316</v>
      </c>
      <c r="J44" s="1">
        <f>H44*$D$1</f>
        <v>80163.250620138831</v>
      </c>
      <c r="K44" s="1">
        <f>J44+I44</f>
        <v>126069.71749028514</v>
      </c>
      <c r="L44" s="1">
        <f>K44/($D$2+$D$1)</f>
        <v>168542740.14735883</v>
      </c>
      <c r="M44" s="1">
        <f>ABS(L44-B44)</f>
        <v>1.7881393432617188E-7</v>
      </c>
      <c r="N44">
        <f>$D$44/($A$44^O44)</f>
        <v>4.83151219702076E-4</v>
      </c>
      <c r="O44">
        <f>LOG($D$45/$D$44,$A$45/$A$44)</f>
        <v>0.16077649320568679</v>
      </c>
      <c r="P44">
        <f>N44*A44^O44</f>
        <v>4.83151219702076E-4</v>
      </c>
    </row>
    <row r="45" spans="1:16">
      <c r="A45" s="1">
        <v>1000</v>
      </c>
      <c r="B45" s="8">
        <f>$A$25</f>
        <v>168542740.14735901</v>
      </c>
      <c r="C45" s="8">
        <f>$B$25*A45^$C$25</f>
        <v>1.2180186950314364E-3</v>
      </c>
      <c r="D45" s="7">
        <v>1.4669407057273801E-3</v>
      </c>
      <c r="E45" s="8">
        <f>$F$25+C45</f>
        <v>5.4581044264990766E-3</v>
      </c>
      <c r="F45" s="8">
        <f>$G$25+C45-D45</f>
        <v>3.9911637207716965E-3</v>
      </c>
      <c r="G45" s="8">
        <f>$H$11+$H$12*E45+$H$13*E45^2+$H$14*E45^3+$H$15*E45^4</f>
        <v>867163427.67951822</v>
      </c>
      <c r="H45" s="1">
        <f>$J$25+(F45-$E$25)*$I$18</f>
        <v>106974947.9753554</v>
      </c>
      <c r="I45" s="1">
        <f>G45*$D$2</f>
        <v>52533.214842461319</v>
      </c>
      <c r="J45" s="1">
        <f>H45*$D$1</f>
        <v>73536.502647823887</v>
      </c>
      <c r="K45" s="1">
        <f>J45+I45</f>
        <v>126069.7174902852</v>
      </c>
      <c r="L45" s="1">
        <f>K45/($D$2+$D$1)</f>
        <v>168542740.14735889</v>
      </c>
      <c r="M45" s="1">
        <f>ABS(L45-B45)</f>
        <v>1.1920928955078125E-7</v>
      </c>
      <c r="N45">
        <f>$D$44/($A$44^O45)</f>
        <v>4.83151219702076E-4</v>
      </c>
      <c r="O45">
        <f>LOG($D$45/$D$44,$A$45/$A$44)</f>
        <v>0.16077649320568679</v>
      </c>
      <c r="P45">
        <f>N45*A45^O45</f>
        <v>1.4669407057273799E-3</v>
      </c>
    </row>
    <row r="46" spans="1:16">
      <c r="A46" s="1">
        <v>10000</v>
      </c>
      <c r="B46" s="8">
        <f>$A$25</f>
        <v>168542740.14735901</v>
      </c>
      <c r="C46" s="8">
        <f>$B$25*A46^$C$25</f>
        <v>1.7705408619926618E-3</v>
      </c>
      <c r="D46" s="7">
        <v>2.1117138810033301E-3</v>
      </c>
      <c r="E46" s="8">
        <f>$F$25+C46</f>
        <v>6.0106265934603016E-3</v>
      </c>
      <c r="F46" s="8">
        <f>$G$25+C46-D46</f>
        <v>3.8989127124569715E-3</v>
      </c>
      <c r="G46" s="8">
        <f>$H$11+$H$12*E46+$H$13*E46^2+$H$14*E46^3+$H$15*E46^4</f>
        <v>929331070.35671747</v>
      </c>
      <c r="H46" s="1">
        <f>$J$25+(F46-$E$25)*$I$18</f>
        <v>101496260.36635569</v>
      </c>
      <c r="I46" s="1">
        <f>G46*$D$2</f>
        <v>56299.363211690812</v>
      </c>
      <c r="J46" s="1">
        <f>H46*$D$1</f>
        <v>69770.354278594285</v>
      </c>
      <c r="K46" s="1">
        <f>J46+I46</f>
        <v>126069.7174902851</v>
      </c>
      <c r="L46" s="1">
        <f>K46/($D$2+$D$1)</f>
        <v>168542740.14735878</v>
      </c>
      <c r="M46" s="1">
        <f>ABS(L46-B46)</f>
        <v>2.384185791015625E-7</v>
      </c>
      <c r="N46">
        <f>$D$44/($A$44^O46)</f>
        <v>4.83151219702076E-4</v>
      </c>
      <c r="O46">
        <f>LOG($D$45/$D$44,$A$45/$A$44)</f>
        <v>0.16077649320568679</v>
      </c>
      <c r="P46">
        <f>N46*A46^O46</f>
        <v>2.1241689343775689E-3</v>
      </c>
    </row>
    <row r="49" spans="1:21">
      <c r="A49" s="1"/>
      <c r="B49" s="1" t="s">
        <v>50</v>
      </c>
      <c r="C49" s="1" t="s">
        <v>51</v>
      </c>
      <c r="D49" s="1" t="s">
        <v>52</v>
      </c>
      <c r="E49" s="1" t="s">
        <v>2</v>
      </c>
      <c r="F49" s="1" t="s">
        <v>3</v>
      </c>
      <c r="G49" s="1" t="s">
        <v>53</v>
      </c>
      <c r="H49" s="1" t="s">
        <v>54</v>
      </c>
    </row>
    <row r="50" spans="1:21">
      <c r="A50" s="1">
        <v>0</v>
      </c>
      <c r="B50" s="11">
        <v>0</v>
      </c>
      <c r="C50" s="11">
        <v>0</v>
      </c>
      <c r="D50" s="1">
        <f>D51-(D52-D51)/(B52-B51)*B51</f>
        <v>0.20172046904756752</v>
      </c>
      <c r="F50" s="5">
        <f>C50</f>
        <v>0</v>
      </c>
      <c r="H50">
        <f>D50</f>
        <v>0.20172046904756752</v>
      </c>
      <c r="K50" s="5">
        <f>B50/$I$18</f>
        <v>0</v>
      </c>
    </row>
    <row r="51" spans="1:21">
      <c r="A51" s="1">
        <v>1</v>
      </c>
      <c r="B51" s="11">
        <f>J23</f>
        <v>47823039.675244004</v>
      </c>
      <c r="C51" s="11">
        <f>N30</f>
        <v>5.5619637895398E-5</v>
      </c>
      <c r="D51" s="2">
        <f>O30</f>
        <v>0.22188456208060678</v>
      </c>
      <c r="E51" s="5">
        <f>(C51-C50)/(B51-B50)</f>
        <v>1.1630301685777195E-12</v>
      </c>
      <c r="F51" s="5">
        <f>C51</f>
        <v>5.5619637895398E-5</v>
      </c>
      <c r="G51">
        <f>(D51-D50)/(B51-B50)</f>
        <v>4.2163971947348573E-10</v>
      </c>
      <c r="H51">
        <f>D51</f>
        <v>0.22188456208060678</v>
      </c>
      <c r="K51" s="5">
        <f>B51/$I$18</f>
        <v>8.052519043920892E-4</v>
      </c>
      <c r="Q51" s="12" t="s">
        <v>55</v>
      </c>
      <c r="R51" s="12">
        <v>0.3</v>
      </c>
      <c r="S51" s="12"/>
      <c r="T51" s="12"/>
      <c r="U51" s="12"/>
    </row>
    <row r="52" spans="1:21">
      <c r="A52" s="1">
        <v>2</v>
      </c>
      <c r="B52" s="11">
        <f>J24</f>
        <v>75621314.527569532</v>
      </c>
      <c r="C52" s="11">
        <f>N37</f>
        <v>8.9986562270001801E-5</v>
      </c>
      <c r="D52" s="2">
        <f>O37</f>
        <v>0.23360541889118816</v>
      </c>
      <c r="E52" s="5">
        <f>(C52-C51)/(B52-B51)</f>
        <v>1.236297020486822E-12</v>
      </c>
      <c r="F52" s="5">
        <f>C52</f>
        <v>8.9986562270001801E-5</v>
      </c>
      <c r="G52">
        <f>(D52-D51)/(B52-B51)</f>
        <v>4.2163971947348548E-10</v>
      </c>
      <c r="H52">
        <f>D52</f>
        <v>0.23360541889118816</v>
      </c>
      <c r="K52" s="5">
        <f>B52/$I$18</f>
        <v>1.2733236521450335E-3</v>
      </c>
      <c r="Q52" s="12" t="s">
        <v>56</v>
      </c>
      <c r="R52" s="12">
        <v>0.25</v>
      </c>
      <c r="S52" s="12"/>
      <c r="T52" s="12"/>
      <c r="U52" s="12"/>
    </row>
    <row r="53" spans="1:21">
      <c r="A53" s="1">
        <v>3</v>
      </c>
      <c r="B53" s="11">
        <f>J25</f>
        <v>121758156.96700689</v>
      </c>
      <c r="C53" s="11">
        <f>N44</f>
        <v>4.83151219702076E-4</v>
      </c>
      <c r="D53" s="2">
        <f>O44</f>
        <v>0.16077649320568679</v>
      </c>
      <c r="E53">
        <f>(C53-C52)/(B53-B52)</f>
        <v>8.521707092291184E-12</v>
      </c>
      <c r="F53" s="5">
        <f>C53</f>
        <v>4.83151219702076E-4</v>
      </c>
      <c r="G53">
        <f>(D53-D52)/(B53-B52)</f>
        <v>-1.5785416130525623E-9</v>
      </c>
      <c r="H53">
        <f>D53</f>
        <v>0.16077649320568679</v>
      </c>
      <c r="K53" s="5">
        <f>B53/$I$18</f>
        <v>2.0501831008393127E-3</v>
      </c>
      <c r="Q53" s="12" t="s">
        <v>57</v>
      </c>
      <c r="R53" s="12">
        <v>5</v>
      </c>
      <c r="S53" s="12"/>
      <c r="T53" s="12"/>
      <c r="U53" s="12"/>
    </row>
    <row r="54" spans="1:21">
      <c r="B54" s="5"/>
      <c r="C54" s="5"/>
      <c r="Q54" s="12"/>
      <c r="R54" s="12"/>
      <c r="S54" s="12"/>
      <c r="T54" s="12"/>
      <c r="U54" s="12"/>
    </row>
    <row r="55" spans="1:21">
      <c r="A55" s="1" t="s">
        <v>58</v>
      </c>
      <c r="B55">
        <v>0</v>
      </c>
      <c r="Q55" s="12"/>
      <c r="R55" s="12"/>
      <c r="S55" s="12"/>
      <c r="T55" s="12"/>
      <c r="U55" s="12"/>
    </row>
    <row r="56" spans="1:21">
      <c r="A56" s="1" t="s">
        <v>59</v>
      </c>
      <c r="B56">
        <v>20</v>
      </c>
      <c r="D56" s="4">
        <f>C61/I18</f>
        <v>2.0508876604455623E-3</v>
      </c>
      <c r="Q56" s="12"/>
      <c r="R56" s="12"/>
      <c r="S56" s="12"/>
      <c r="T56" s="12"/>
      <c r="U56" s="12"/>
    </row>
    <row r="57" spans="1:21">
      <c r="Q57" s="12"/>
      <c r="R57" s="12"/>
      <c r="S57" s="12"/>
      <c r="T57" s="12"/>
      <c r="U57" s="12"/>
    </row>
    <row r="58" spans="1:21">
      <c r="A58" s="1" t="s">
        <v>60</v>
      </c>
      <c r="B58" s="1" t="s">
        <v>61</v>
      </c>
      <c r="C58" s="1" t="s">
        <v>50</v>
      </c>
      <c r="D58" s="1" t="s">
        <v>62</v>
      </c>
      <c r="E58" s="1" t="s">
        <v>2</v>
      </c>
      <c r="F58" s="1" t="s">
        <v>3</v>
      </c>
      <c r="G58" s="1" t="s">
        <v>53</v>
      </c>
      <c r="H58" s="1" t="s">
        <v>54</v>
      </c>
      <c r="I58" s="1" t="s">
        <v>51</v>
      </c>
      <c r="J58" s="1" t="s">
        <v>52</v>
      </c>
      <c r="K58" s="1" t="s">
        <v>63</v>
      </c>
      <c r="L58" s="1" t="s">
        <v>64</v>
      </c>
      <c r="M58" s="1" t="s">
        <v>65</v>
      </c>
      <c r="N58" s="1" t="s">
        <v>66</v>
      </c>
      <c r="Q58" s="12" t="s">
        <v>67</v>
      </c>
      <c r="R58" s="12" t="s">
        <v>66</v>
      </c>
      <c r="S58" s="13" t="s">
        <v>64</v>
      </c>
      <c r="T58" s="13" t="s">
        <v>65</v>
      </c>
      <c r="U58" s="13" t="s">
        <v>66</v>
      </c>
    </row>
    <row r="59" spans="1:21">
      <c r="A59" s="1" t="s">
        <v>43</v>
      </c>
      <c r="B59" s="1" t="s">
        <v>68</v>
      </c>
      <c r="C59" s="1" t="s">
        <v>42</v>
      </c>
      <c r="D59" t="s">
        <v>42</v>
      </c>
      <c r="E59" s="1" t="s">
        <v>69</v>
      </c>
      <c r="F59" s="1" t="s">
        <v>69</v>
      </c>
      <c r="G59" s="1" t="s">
        <v>69</v>
      </c>
      <c r="H59" s="1" t="s">
        <v>69</v>
      </c>
      <c r="I59" s="1" t="s">
        <v>69</v>
      </c>
      <c r="J59" s="1" t="s">
        <v>69</v>
      </c>
      <c r="K59" s="1" t="s">
        <v>14</v>
      </c>
      <c r="L59" s="1" t="s">
        <v>43</v>
      </c>
      <c r="M59" s="1" t="s">
        <v>43</v>
      </c>
      <c r="N59" s="1" t="s">
        <v>44</v>
      </c>
      <c r="Q59" s="12"/>
      <c r="R59" s="12"/>
      <c r="S59" s="12"/>
      <c r="T59" s="12"/>
      <c r="U59" s="12"/>
    </row>
    <row r="60" spans="1:21">
      <c r="A60" s="1"/>
      <c r="B60" s="1"/>
      <c r="C60" s="1"/>
      <c r="E60" s="1"/>
      <c r="F60" s="1"/>
      <c r="G60" s="1"/>
      <c r="H60" s="1"/>
      <c r="I60" s="1"/>
      <c r="J60" s="1"/>
      <c r="L60" s="1"/>
      <c r="M60" s="1">
        <v>0</v>
      </c>
      <c r="N60" s="1">
        <v>0</v>
      </c>
      <c r="Q60" s="12">
        <v>0</v>
      </c>
      <c r="R60" s="12"/>
      <c r="S60" s="12"/>
      <c r="T60" s="13">
        <v>0</v>
      </c>
      <c r="U60" s="13">
        <v>0</v>
      </c>
    </row>
    <row r="61" spans="1:21">
      <c r="A61" s="2">
        <v>0</v>
      </c>
      <c r="B61" s="2">
        <v>20</v>
      </c>
      <c r="C61" s="14">
        <v>121800000</v>
      </c>
      <c r="D61" s="5">
        <f>IF(C61&lt;$B$50,0,IF(C61&lt;$B$51,$B$50,IF(C61&lt;$B$52,$B$51,IF(C61&lt;$B$53,$B$52,$B$52))))</f>
        <v>75621314.527569532</v>
      </c>
      <c r="E61" s="1">
        <f>IF(C61&lt;$B$50,0,IF(C61&lt;$B$51,$E$51,IF(C61&lt;$B$52,$E$52,IF(C61&lt;$B$53,$E$53,$E$53))))</f>
        <v>8.521707092291184E-12</v>
      </c>
      <c r="F61" s="3">
        <f t="shared" ref="F61:F71" si="6">IF(C61&lt;$B$50,0,IF(C61&lt;$B$51,$F$50,IF(C61&lt;$B$52,$F$51,IF(C61&lt;$B$53,$F$52,$F$52))))</f>
        <v>8.9986562270001801E-5</v>
      </c>
      <c r="G61">
        <f t="shared" ref="G61:G71" si="7">IF(C61&lt;$B$50,0,IF(C61&lt;$B$51,$G$51,IF(C61&lt;$B$52,$G$52,IF(C61&lt;$B$53,$G$53,$G$53))))</f>
        <v>-1.5785416130525623E-9</v>
      </c>
      <c r="H61">
        <f t="shared" ref="H61:H71" si="8">IF(C61&lt;$B$50,0,IF(C61&lt;$B$51,$H$50,IF(C61&lt;$B$52,$H$51,IF(C61&lt;$B$53,$H$52,$H$52))))</f>
        <v>0.23360541889118816</v>
      </c>
      <c r="I61">
        <f t="shared" ref="I61:I71" si="9">(C61-D61)*E61+F61</f>
        <v>4.8350779377309634E-4</v>
      </c>
      <c r="J61" s="4">
        <f>(C61-D61)*G61+H61</f>
        <v>0.16071044223689085</v>
      </c>
      <c r="K61" s="1">
        <f t="shared" ref="K61:K71" si="10">EXP($B$55*(B61-$B$56))</f>
        <v>1</v>
      </c>
      <c r="L61" s="1">
        <f t="shared" ref="L61:L71" si="11">(N60/(I61*K61))^(1/J61)</f>
        <v>0</v>
      </c>
      <c r="M61" s="1">
        <f t="shared" ref="M61:M71" si="12">L61+A61</f>
        <v>0</v>
      </c>
      <c r="N61" s="1">
        <f t="shared" ref="N61:N71" si="13">K61*I61*(M61^J61)</f>
        <v>0</v>
      </c>
      <c r="Q61" s="12">
        <f t="shared" ref="Q61:Q70" si="14">((C61^($R$51/$R$52))*A61)+Q60</f>
        <v>0</v>
      </c>
      <c r="R61" s="12">
        <f t="shared" ref="R61:R70" si="15">$R$53*(Q61^$R$52)</f>
        <v>0</v>
      </c>
      <c r="S61" s="13">
        <f t="shared" ref="S61:S70" si="16">(U60/((C61^$R$51)*$R$53))^(1/$R$52)</f>
        <v>0</v>
      </c>
      <c r="T61" s="13">
        <f t="shared" ref="T61:T70" si="17">S61+A61</f>
        <v>0</v>
      </c>
      <c r="U61" s="13">
        <f t="shared" ref="U61:U70" si="18">$R$53*(C61^$R$51)*(T61^$R$52)</f>
        <v>0</v>
      </c>
    </row>
    <row r="62" spans="1:21">
      <c r="A62" s="2">
        <v>1000</v>
      </c>
      <c r="B62" s="2">
        <v>20</v>
      </c>
      <c r="C62" s="14">
        <v>121800000</v>
      </c>
      <c r="D62" s="5">
        <f t="shared" ref="D61:D71" si="19">IF(C62&lt;$B$50,0,IF(C62&lt;$B$51,$B$50,IF(C62&lt;$B$52,$B$51,IF(C62&lt;$B$53,$B$52,$B$52))))</f>
        <v>75621314.527569532</v>
      </c>
      <c r="E62" s="1">
        <f t="shared" ref="E61:E71" si="20">IF(C62&lt;$B$50,0,IF(C62&lt;$B$51,$E$51,IF(C62&lt;$B$52,$E$52,IF(C62&lt;$B$53,$E$53,$E$53))))</f>
        <v>8.521707092291184E-12</v>
      </c>
      <c r="F62" s="3">
        <f t="shared" si="6"/>
        <v>8.9986562270001801E-5</v>
      </c>
      <c r="G62">
        <f t="shared" si="7"/>
        <v>-1.5785416130525623E-9</v>
      </c>
      <c r="H62">
        <f t="shared" si="8"/>
        <v>0.23360541889118816</v>
      </c>
      <c r="I62" s="4">
        <f>(C62-D62)*E62+F62</f>
        <v>4.8350779377309634E-4</v>
      </c>
      <c r="J62">
        <f t="shared" ref="J61:J71" si="21">(C62-D62)*G62+H62</f>
        <v>0.16071044223689085</v>
      </c>
      <c r="K62" s="1">
        <f t="shared" si="10"/>
        <v>1</v>
      </c>
      <c r="L62" s="1">
        <f t="shared" si="11"/>
        <v>0</v>
      </c>
      <c r="M62" s="1">
        <f t="shared" si="12"/>
        <v>1000</v>
      </c>
      <c r="N62" s="1">
        <f t="shared" si="13"/>
        <v>1.4673536803751983E-3</v>
      </c>
      <c r="Q62" s="12">
        <f t="shared" si="14"/>
        <v>5044019373229.1152</v>
      </c>
      <c r="R62" s="12">
        <f t="shared" si="15"/>
        <v>7493.1459334956535</v>
      </c>
      <c r="S62" s="13">
        <f t="shared" si="16"/>
        <v>0</v>
      </c>
      <c r="T62" s="13">
        <f t="shared" si="17"/>
        <v>1000</v>
      </c>
      <c r="U62" s="13">
        <f t="shared" si="18"/>
        <v>7493.1459334956535</v>
      </c>
    </row>
    <row r="63" spans="1:21">
      <c r="A63" s="2">
        <v>1000</v>
      </c>
      <c r="B63" s="2">
        <v>20</v>
      </c>
      <c r="C63" s="14">
        <v>121800000</v>
      </c>
      <c r="D63" s="5">
        <f t="shared" si="19"/>
        <v>75621314.527569532</v>
      </c>
      <c r="E63" s="1">
        <f t="shared" si="20"/>
        <v>8.521707092291184E-12</v>
      </c>
      <c r="F63" s="3">
        <f t="shared" si="6"/>
        <v>8.9986562270001801E-5</v>
      </c>
      <c r="G63">
        <f t="shared" si="7"/>
        <v>-1.5785416130525623E-9</v>
      </c>
      <c r="H63">
        <f t="shared" si="8"/>
        <v>0.23360541889118816</v>
      </c>
      <c r="I63">
        <f t="shared" si="9"/>
        <v>4.8350779377309634E-4</v>
      </c>
      <c r="J63">
        <f t="shared" si="21"/>
        <v>0.16071044223689085</v>
      </c>
      <c r="K63" s="1">
        <f t="shared" si="10"/>
        <v>1</v>
      </c>
      <c r="L63" s="1">
        <f t="shared" si="11"/>
        <v>1000.0000000000007</v>
      </c>
      <c r="M63" s="1">
        <f t="shared" si="12"/>
        <v>2000.0000000000007</v>
      </c>
      <c r="N63" s="1">
        <f t="shared" si="13"/>
        <v>1.6402629280098072E-3</v>
      </c>
      <c r="Q63" s="12">
        <f t="shared" si="14"/>
        <v>10088038746458.23</v>
      </c>
      <c r="R63" s="12">
        <f t="shared" si="15"/>
        <v>8910.9024578667431</v>
      </c>
      <c r="S63" s="13">
        <f t="shared" si="16"/>
        <v>999.99999999999977</v>
      </c>
      <c r="T63" s="13">
        <f t="shared" si="17"/>
        <v>1999.9999999999998</v>
      </c>
      <c r="U63" s="13">
        <f t="shared" si="18"/>
        <v>8910.9024578667377</v>
      </c>
    </row>
    <row r="64" spans="1:21">
      <c r="A64" s="2">
        <v>1000</v>
      </c>
      <c r="B64" s="2">
        <v>20</v>
      </c>
      <c r="C64" s="14">
        <v>121800000</v>
      </c>
      <c r="D64" s="5">
        <f t="shared" si="19"/>
        <v>75621314.527569532</v>
      </c>
      <c r="E64" s="1">
        <f t="shared" si="20"/>
        <v>8.521707092291184E-12</v>
      </c>
      <c r="F64" s="3">
        <f t="shared" si="6"/>
        <v>8.9986562270001801E-5</v>
      </c>
      <c r="G64">
        <f t="shared" si="7"/>
        <v>-1.5785416130525623E-9</v>
      </c>
      <c r="H64">
        <f t="shared" si="8"/>
        <v>0.23360541889118816</v>
      </c>
      <c r="I64">
        <f t="shared" si="9"/>
        <v>4.8350779377309634E-4</v>
      </c>
      <c r="J64">
        <f t="shared" si="21"/>
        <v>0.16071044223689085</v>
      </c>
      <c r="K64" s="1">
        <f t="shared" si="10"/>
        <v>1</v>
      </c>
      <c r="L64" s="1">
        <f t="shared" si="11"/>
        <v>2000.0000000000032</v>
      </c>
      <c r="M64" s="1">
        <f t="shared" si="12"/>
        <v>3000.0000000000032</v>
      </c>
      <c r="N64" s="1">
        <f t="shared" si="13"/>
        <v>1.7507058120221229E-3</v>
      </c>
      <c r="Q64" s="12">
        <f t="shared" si="14"/>
        <v>15132058119687.346</v>
      </c>
      <c r="R64" s="12">
        <f t="shared" si="15"/>
        <v>9861.5346383342785</v>
      </c>
      <c r="S64" s="13">
        <f t="shared" si="16"/>
        <v>1999.9999999999995</v>
      </c>
      <c r="T64" s="13">
        <f t="shared" si="17"/>
        <v>2999.9999999999995</v>
      </c>
      <c r="U64" s="13">
        <f t="shared" si="18"/>
        <v>9861.534638334273</v>
      </c>
    </row>
    <row r="65" spans="1:21">
      <c r="A65" s="2">
        <v>1000</v>
      </c>
      <c r="B65" s="2">
        <v>20</v>
      </c>
      <c r="C65" s="14">
        <v>121800000</v>
      </c>
      <c r="D65" s="5">
        <f t="shared" si="19"/>
        <v>75621314.527569532</v>
      </c>
      <c r="E65" s="1">
        <f t="shared" si="20"/>
        <v>8.521707092291184E-12</v>
      </c>
      <c r="F65" s="3">
        <f t="shared" si="6"/>
        <v>8.9986562270001801E-5</v>
      </c>
      <c r="G65">
        <f t="shared" si="7"/>
        <v>-1.5785416130525623E-9</v>
      </c>
      <c r="H65">
        <f t="shared" si="8"/>
        <v>0.23360541889118816</v>
      </c>
      <c r="I65">
        <f t="shared" si="9"/>
        <v>4.8350779377309634E-4</v>
      </c>
      <c r="J65">
        <f t="shared" si="21"/>
        <v>0.16071044223689085</v>
      </c>
      <c r="K65" s="1">
        <f t="shared" si="10"/>
        <v>1</v>
      </c>
      <c r="L65" s="1">
        <f t="shared" si="11"/>
        <v>3000.0000000000027</v>
      </c>
      <c r="M65" s="1">
        <f t="shared" si="12"/>
        <v>4000.0000000000027</v>
      </c>
      <c r="N65" s="1">
        <f t="shared" si="13"/>
        <v>1.833547364201493E-3</v>
      </c>
      <c r="Q65" s="12">
        <f t="shared" si="14"/>
        <v>20176077492916.461</v>
      </c>
      <c r="R65" s="12">
        <f t="shared" si="15"/>
        <v>10596.90860399036</v>
      </c>
      <c r="S65" s="13">
        <f t="shared" si="16"/>
        <v>2999.9999999999973</v>
      </c>
      <c r="T65" s="13">
        <f t="shared" si="17"/>
        <v>3999.9999999999973</v>
      </c>
      <c r="U65" s="13">
        <f t="shared" si="18"/>
        <v>10596.90860399036</v>
      </c>
    </row>
    <row r="66" spans="1:21">
      <c r="A66" s="2">
        <v>1000</v>
      </c>
      <c r="B66" s="2">
        <v>20</v>
      </c>
      <c r="C66" s="14">
        <v>121800000</v>
      </c>
      <c r="D66" s="5">
        <f t="shared" si="19"/>
        <v>75621314.527569532</v>
      </c>
      <c r="E66" s="1">
        <f t="shared" si="20"/>
        <v>8.521707092291184E-12</v>
      </c>
      <c r="F66" s="3">
        <f t="shared" si="6"/>
        <v>8.9986562270001801E-5</v>
      </c>
      <c r="G66">
        <f t="shared" si="7"/>
        <v>-1.5785416130525623E-9</v>
      </c>
      <c r="H66">
        <f t="shared" si="8"/>
        <v>0.23360541889118816</v>
      </c>
      <c r="I66">
        <f t="shared" si="9"/>
        <v>4.8350779377309634E-4</v>
      </c>
      <c r="J66">
        <f t="shared" si="21"/>
        <v>0.16071044223689085</v>
      </c>
      <c r="K66" s="1">
        <f t="shared" si="10"/>
        <v>1</v>
      </c>
      <c r="L66" s="1">
        <f t="shared" si="11"/>
        <v>3999.9999999999995</v>
      </c>
      <c r="M66" s="1">
        <f t="shared" si="12"/>
        <v>5000</v>
      </c>
      <c r="N66" s="1">
        <f t="shared" si="13"/>
        <v>1.9004943559662131E-3</v>
      </c>
      <c r="Q66" s="12">
        <f t="shared" si="14"/>
        <v>25220096866145.578</v>
      </c>
      <c r="R66" s="12">
        <f t="shared" si="15"/>
        <v>11204.866639165468</v>
      </c>
      <c r="S66" s="13">
        <f t="shared" si="16"/>
        <v>3999.9999999999991</v>
      </c>
      <c r="T66" s="13">
        <f t="shared" si="17"/>
        <v>4999.9999999999991</v>
      </c>
      <c r="U66" s="13">
        <f t="shared" si="18"/>
        <v>11204.866639165468</v>
      </c>
    </row>
    <row r="67" spans="1:21">
      <c r="A67" s="2">
        <v>1000</v>
      </c>
      <c r="B67" s="2">
        <v>20</v>
      </c>
      <c r="C67" s="14">
        <v>121800000</v>
      </c>
      <c r="D67" s="5">
        <f t="shared" si="19"/>
        <v>75621314.527569532</v>
      </c>
      <c r="E67" s="1">
        <f t="shared" si="20"/>
        <v>8.521707092291184E-12</v>
      </c>
      <c r="F67" s="3">
        <f t="shared" si="6"/>
        <v>8.9986562270001801E-5</v>
      </c>
      <c r="G67">
        <f t="shared" si="7"/>
        <v>-1.5785416130525623E-9</v>
      </c>
      <c r="H67">
        <f t="shared" si="8"/>
        <v>0.23360541889118816</v>
      </c>
      <c r="I67">
        <f t="shared" si="9"/>
        <v>4.8350779377309634E-4</v>
      </c>
      <c r="J67">
        <f t="shared" si="21"/>
        <v>0.16071044223689085</v>
      </c>
      <c r="K67" s="1">
        <f t="shared" si="10"/>
        <v>1</v>
      </c>
      <c r="L67" s="1">
        <f t="shared" si="11"/>
        <v>5000.0000000000036</v>
      </c>
      <c r="M67" s="1">
        <f t="shared" si="12"/>
        <v>6000.0000000000036</v>
      </c>
      <c r="N67" s="1">
        <f t="shared" si="13"/>
        <v>1.9570045584217494E-3</v>
      </c>
      <c r="Q67" s="12">
        <f t="shared" si="14"/>
        <v>30264116239374.695</v>
      </c>
      <c r="R67" s="12">
        <f t="shared" si="15"/>
        <v>11727.407156752904</v>
      </c>
      <c r="S67" s="13">
        <f t="shared" si="16"/>
        <v>4999.9999999999945</v>
      </c>
      <c r="T67" s="13">
        <f t="shared" si="17"/>
        <v>5999.9999999999945</v>
      </c>
      <c r="U67" s="13">
        <f t="shared" si="18"/>
        <v>11727.407156752903</v>
      </c>
    </row>
    <row r="68" spans="1:21">
      <c r="A68" s="2">
        <v>1000</v>
      </c>
      <c r="B68" s="2">
        <v>20</v>
      </c>
      <c r="C68" s="14">
        <v>121800000</v>
      </c>
      <c r="D68" s="5">
        <f t="shared" si="19"/>
        <v>75621314.527569532</v>
      </c>
      <c r="E68" s="1">
        <f t="shared" si="20"/>
        <v>8.521707092291184E-12</v>
      </c>
      <c r="F68" s="3">
        <f t="shared" si="6"/>
        <v>8.9986562270001801E-5</v>
      </c>
      <c r="G68">
        <f t="shared" si="7"/>
        <v>-1.5785416130525623E-9</v>
      </c>
      <c r="H68">
        <f t="shared" si="8"/>
        <v>0.23360541889118816</v>
      </c>
      <c r="I68">
        <f t="shared" si="9"/>
        <v>4.8350779377309634E-4</v>
      </c>
      <c r="J68">
        <f t="shared" si="21"/>
        <v>0.16071044223689085</v>
      </c>
      <c r="K68" s="1">
        <f t="shared" si="10"/>
        <v>1</v>
      </c>
      <c r="L68" s="1">
        <f t="shared" si="11"/>
        <v>6000.0000000000064</v>
      </c>
      <c r="M68" s="1">
        <f t="shared" si="12"/>
        <v>7000.0000000000064</v>
      </c>
      <c r="N68" s="1">
        <f t="shared" si="13"/>
        <v>2.006092182007015E-3</v>
      </c>
      <c r="Q68" s="12">
        <f t="shared" si="14"/>
        <v>35308135612603.813</v>
      </c>
      <c r="R68" s="12">
        <f t="shared" si="15"/>
        <v>12188.175548805111</v>
      </c>
      <c r="S68" s="13">
        <f t="shared" si="16"/>
        <v>5999.9999999999936</v>
      </c>
      <c r="T68" s="13">
        <f t="shared" si="17"/>
        <v>6999.9999999999936</v>
      </c>
      <c r="U68" s="13">
        <f t="shared" si="18"/>
        <v>12188.175548805106</v>
      </c>
    </row>
    <row r="69" spans="1:21">
      <c r="A69" s="2">
        <v>1000</v>
      </c>
      <c r="B69" s="2">
        <v>20</v>
      </c>
      <c r="C69" s="14">
        <v>121800000</v>
      </c>
      <c r="D69" s="5">
        <f t="shared" si="19"/>
        <v>75621314.527569532</v>
      </c>
      <c r="E69" s="1">
        <f t="shared" si="20"/>
        <v>8.521707092291184E-12</v>
      </c>
      <c r="F69" s="3">
        <f t="shared" si="6"/>
        <v>8.9986562270001801E-5</v>
      </c>
      <c r="G69">
        <f t="shared" si="7"/>
        <v>-1.5785416130525623E-9</v>
      </c>
      <c r="H69">
        <f t="shared" si="8"/>
        <v>0.23360541889118816</v>
      </c>
      <c r="I69">
        <f t="shared" si="9"/>
        <v>4.8350779377309634E-4</v>
      </c>
      <c r="J69">
        <f t="shared" si="21"/>
        <v>0.16071044223689085</v>
      </c>
      <c r="K69" s="1">
        <f t="shared" si="10"/>
        <v>1</v>
      </c>
      <c r="L69" s="1">
        <f t="shared" si="11"/>
        <v>7000.0000000000118</v>
      </c>
      <c r="M69" s="1">
        <f t="shared" si="12"/>
        <v>8000.0000000000118</v>
      </c>
      <c r="N69" s="1">
        <f t="shared" si="13"/>
        <v>2.0496079496531445E-3</v>
      </c>
      <c r="Q69" s="12">
        <f t="shared" si="14"/>
        <v>40352154985832.93</v>
      </c>
      <c r="R69" s="12">
        <f t="shared" si="15"/>
        <v>12601.919108898894</v>
      </c>
      <c r="S69" s="13">
        <f t="shared" si="16"/>
        <v>6999.9999999999982</v>
      </c>
      <c r="T69" s="13">
        <f t="shared" si="17"/>
        <v>7999.9999999999982</v>
      </c>
      <c r="U69" s="13">
        <f t="shared" si="18"/>
        <v>12601.919108898888</v>
      </c>
    </row>
    <row r="70" spans="1:21">
      <c r="A70" s="2">
        <v>1000</v>
      </c>
      <c r="B70" s="2">
        <v>20</v>
      </c>
      <c r="C70" s="14">
        <v>121800000</v>
      </c>
      <c r="D70" s="5">
        <f t="shared" si="19"/>
        <v>75621314.527569532</v>
      </c>
      <c r="E70" s="1">
        <f t="shared" si="20"/>
        <v>8.521707092291184E-12</v>
      </c>
      <c r="F70" s="3">
        <f t="shared" si="6"/>
        <v>8.9986562270001801E-5</v>
      </c>
      <c r="G70">
        <f t="shared" si="7"/>
        <v>-1.5785416130525623E-9</v>
      </c>
      <c r="H70">
        <f t="shared" si="8"/>
        <v>0.23360541889118816</v>
      </c>
      <c r="I70">
        <f t="shared" si="9"/>
        <v>4.8350779377309634E-4</v>
      </c>
      <c r="J70">
        <f t="shared" si="21"/>
        <v>0.16071044223689085</v>
      </c>
      <c r="K70" s="1">
        <f t="shared" si="10"/>
        <v>1</v>
      </c>
      <c r="L70" s="1">
        <f t="shared" si="11"/>
        <v>8000.0000000000146</v>
      </c>
      <c r="M70" s="1">
        <f t="shared" si="12"/>
        <v>9000.0000000000146</v>
      </c>
      <c r="N70" s="1">
        <f t="shared" si="13"/>
        <v>2.0887744251708537E-3</v>
      </c>
      <c r="Q70" s="12">
        <f t="shared" si="14"/>
        <v>45396174359062.047</v>
      </c>
      <c r="R70" s="12">
        <f t="shared" si="15"/>
        <v>12978.509465342593</v>
      </c>
      <c r="S70" s="13">
        <f t="shared" si="16"/>
        <v>8000.0000000000009</v>
      </c>
      <c r="T70" s="13">
        <f t="shared" si="17"/>
        <v>9000</v>
      </c>
      <c r="U70" s="13">
        <f t="shared" si="18"/>
        <v>12978.509465342599</v>
      </c>
    </row>
    <row r="71" spans="1:21">
      <c r="A71" s="2">
        <v>1000</v>
      </c>
      <c r="B71" s="2">
        <v>20</v>
      </c>
      <c r="C71" s="14">
        <v>121800000</v>
      </c>
      <c r="D71" s="5">
        <f t="shared" si="19"/>
        <v>75621314.527569532</v>
      </c>
      <c r="E71" s="1">
        <f t="shared" si="20"/>
        <v>8.521707092291184E-12</v>
      </c>
      <c r="F71" s="3">
        <f t="shared" si="6"/>
        <v>8.9986562270001801E-5</v>
      </c>
      <c r="G71">
        <f t="shared" si="7"/>
        <v>-1.5785416130525623E-9</v>
      </c>
      <c r="H71">
        <f t="shared" si="8"/>
        <v>0.23360541889118816</v>
      </c>
      <c r="I71">
        <f t="shared" si="9"/>
        <v>4.8350779377309634E-4</v>
      </c>
      <c r="J71">
        <f t="shared" si="21"/>
        <v>0.16071044223689085</v>
      </c>
      <c r="K71" s="1">
        <f t="shared" si="10"/>
        <v>1</v>
      </c>
      <c r="L71" s="1">
        <f t="shared" si="11"/>
        <v>9000.00000000002</v>
      </c>
      <c r="M71" s="1">
        <f t="shared" si="12"/>
        <v>10000.00000000002</v>
      </c>
      <c r="N71" s="1">
        <f>K71*I71*(M71^J71)</f>
        <v>2.1244438056584741E-3</v>
      </c>
    </row>
    <row r="76" spans="1:21">
      <c r="A76" t="s">
        <v>70</v>
      </c>
    </row>
    <row r="77" spans="1:21">
      <c r="A77" t="s">
        <v>71</v>
      </c>
      <c r="B77">
        <v>12.883103745956101</v>
      </c>
    </row>
    <row r="78" spans="1:21">
      <c r="A78" t="s">
        <v>72</v>
      </c>
      <c r="B78">
        <v>20.433620388536099</v>
      </c>
    </row>
    <row r="79" spans="1:21">
      <c r="A79" t="s">
        <v>73</v>
      </c>
      <c r="B79">
        <v>3.2131350934880101</v>
      </c>
    </row>
    <row r="80" spans="1:21">
      <c r="A80" t="s">
        <v>74</v>
      </c>
      <c r="B80">
        <v>-95417.805486697398</v>
      </c>
    </row>
    <row r="81" spans="1:2">
      <c r="A81" t="s">
        <v>75</v>
      </c>
      <c r="B81">
        <v>223.373842029038</v>
      </c>
    </row>
    <row r="82" spans="1:2">
      <c r="A82" t="s">
        <v>76</v>
      </c>
      <c r="B82">
        <v>0.103884177540269</v>
      </c>
    </row>
    <row r="87" spans="1:2">
      <c r="A87">
        <v>0</v>
      </c>
      <c r="B87">
        <f>$B$80*A87^2+$B$81*A87+$B$82</f>
        <v>0.103884177540269</v>
      </c>
    </row>
    <row r="88" spans="1:2">
      <c r="A88" s="4">
        <v>5.0000000000000001E-4</v>
      </c>
      <c r="B88">
        <f>$B$80*A88^2+$B$81*A88+$B$82</f>
        <v>0.19171664718311365</v>
      </c>
    </row>
    <row r="89" spans="1:2">
      <c r="A89">
        <v>1E-3</v>
      </c>
      <c r="B89">
        <f>$B$80*A89^2+$B$81*A89+$B$82</f>
        <v>0.23184021408260963</v>
      </c>
    </row>
    <row r="90" spans="1:2">
      <c r="A90" s="4">
        <v>1.5E-3</v>
      </c>
      <c r="B90">
        <f>$B$80*A90^2+$B$81*A90+$B$82</f>
        <v>0.22425487823875689</v>
      </c>
    </row>
    <row r="91" spans="1:2">
      <c r="A91">
        <v>2E-3</v>
      </c>
      <c r="B91">
        <f>$B$80*A91^2+$B$81*A91+$B$82</f>
        <v>0.16896063965155544</v>
      </c>
    </row>
  </sheetData>
  <mergeCells count="5">
    <mergeCell ref="B9:D9"/>
    <mergeCell ref="E9:G9"/>
    <mergeCell ref="H9:J9"/>
    <mergeCell ref="K9:M9"/>
    <mergeCell ref="A21:C21"/>
  </mergeCells>
  <pageMargins left="0" right="0" top="0.39370000000000011" bottom="0.39370000000000011" header="0" footer="0"/>
  <pageSetup orientation="portrait" horizontalDpi="90" verticalDpi="90" r:id="rId1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workbookViewId="0"/>
  </sheetViews>
  <sheetFormatPr baseColWidth="10" defaultRowHeight="14.25"/>
  <cols>
    <col min="1" max="3" width="10.625" customWidth="1"/>
  </cols>
  <sheetData>
    <row r="1" spans="1:3">
      <c r="A1">
        <v>0</v>
      </c>
      <c r="B1">
        <v>0</v>
      </c>
      <c r="C1">
        <v>0</v>
      </c>
    </row>
    <row r="2" spans="1:3">
      <c r="A2">
        <v>2E-3</v>
      </c>
      <c r="B2">
        <v>72695.5</v>
      </c>
      <c r="C2">
        <v>7096.08</v>
      </c>
    </row>
    <row r="3" spans="1:3">
      <c r="A3">
        <v>2E-3</v>
      </c>
      <c r="B3">
        <v>72695.5</v>
      </c>
      <c r="C3">
        <v>7096.08</v>
      </c>
    </row>
    <row r="4" spans="1:3">
      <c r="A4">
        <v>3.0000000000000001E-3</v>
      </c>
      <c r="B4">
        <v>101406</v>
      </c>
      <c r="C4">
        <v>44579.1</v>
      </c>
    </row>
    <row r="5" spans="1:3">
      <c r="A5">
        <v>4.0000000000000001E-3</v>
      </c>
      <c r="B5">
        <v>122142</v>
      </c>
      <c r="C5">
        <v>78872.5</v>
      </c>
    </row>
    <row r="6" spans="1:3">
      <c r="A6">
        <v>5.0000000000000001E-3</v>
      </c>
      <c r="B6">
        <v>136729</v>
      </c>
      <c r="C6">
        <v>106042</v>
      </c>
    </row>
    <row r="7" spans="1:3">
      <c r="A7">
        <v>6.0000000000000001E-3</v>
      </c>
      <c r="B7">
        <v>150178</v>
      </c>
      <c r="C7">
        <v>125343</v>
      </c>
    </row>
    <row r="8" spans="1:3">
      <c r="A8">
        <v>4.0000000000000001E-3</v>
      </c>
      <c r="B8">
        <v>91816.9</v>
      </c>
      <c r="C8">
        <v>50316.800000000003</v>
      </c>
    </row>
    <row r="15" spans="1:3">
      <c r="A15">
        <v>0</v>
      </c>
      <c r="B15">
        <v>0</v>
      </c>
      <c r="C15" s="4">
        <v>164100000000</v>
      </c>
    </row>
    <row r="16" spans="1:3">
      <c r="A16">
        <v>1E-3</v>
      </c>
      <c r="B16" s="4">
        <v>165992000</v>
      </c>
      <c r="C16" s="4">
        <v>167681000000</v>
      </c>
    </row>
    <row r="17" spans="1:3">
      <c r="A17">
        <v>2E-3</v>
      </c>
      <c r="B17" s="4">
        <v>334566000</v>
      </c>
      <c r="C17" s="4">
        <v>168875000000</v>
      </c>
    </row>
    <row r="18" spans="1:3">
      <c r="A18">
        <v>3.0000000000000001E-3</v>
      </c>
      <c r="B18" s="4">
        <v>502166000</v>
      </c>
      <c r="C18" s="4">
        <v>165344000000</v>
      </c>
    </row>
    <row r="19" spans="1:3">
      <c r="A19">
        <v>4.0000000000000001E-3</v>
      </c>
      <c r="B19" s="4">
        <v>662898000</v>
      </c>
      <c r="C19" s="4">
        <v>154748000000</v>
      </c>
    </row>
    <row r="20" spans="1:3">
      <c r="A20">
        <v>5.0000000000000001E-3</v>
      </c>
      <c r="B20" s="4">
        <v>808527000</v>
      </c>
      <c r="C20" s="4">
        <v>134749000000</v>
      </c>
    </row>
    <row r="21" spans="1:3">
      <c r="A21">
        <v>6.0000000000000001E-3</v>
      </c>
      <c r="B21" s="4">
        <v>928481000</v>
      </c>
      <c r="C21" s="4">
        <v>103007000000</v>
      </c>
    </row>
    <row r="22" spans="1:3">
      <c r="A22">
        <v>5.0000000000000001E-3</v>
      </c>
      <c r="B22" s="4">
        <v>740281000</v>
      </c>
      <c r="C22" s="4">
        <v>188200000000</v>
      </c>
    </row>
    <row r="23" spans="1:3">
      <c r="A23">
        <v>4.0000000000000001E-3</v>
      </c>
      <c r="B23" s="4">
        <v>552081000</v>
      </c>
      <c r="C23" s="4">
        <v>188200000000</v>
      </c>
    </row>
    <row r="24" spans="1:3">
      <c r="A24">
        <v>3.0000000000000001E-3</v>
      </c>
      <c r="B24" s="4">
        <v>363882000</v>
      </c>
      <c r="C24" s="4">
        <v>188195000000</v>
      </c>
    </row>
    <row r="25" spans="1:3">
      <c r="A25">
        <v>2E-3</v>
      </c>
      <c r="B25" s="4">
        <v>175711000</v>
      </c>
      <c r="C25" s="4">
        <v>188118000000</v>
      </c>
    </row>
    <row r="26" spans="1:3">
      <c r="A26">
        <v>1E-3</v>
      </c>
      <c r="B26" s="4">
        <v>-12173800</v>
      </c>
      <c r="C26" s="4">
        <v>187444000000</v>
      </c>
    </row>
    <row r="27" spans="1:3">
      <c r="A27">
        <v>0</v>
      </c>
      <c r="B27" s="4">
        <v>-198202000</v>
      </c>
      <c r="C27" s="4">
        <v>183676000000</v>
      </c>
    </row>
    <row r="28" spans="1:3">
      <c r="A28">
        <v>-1E-3</v>
      </c>
      <c r="B28" s="4">
        <v>-376186000</v>
      </c>
      <c r="C28" s="4">
        <v>169820000000</v>
      </c>
    </row>
    <row r="29" spans="1:3">
      <c r="A29">
        <v>-2E-3</v>
      </c>
      <c r="B29" s="4">
        <v>-532419000</v>
      </c>
      <c r="C29" s="4">
        <v>140604000000</v>
      </c>
    </row>
    <row r="30" spans="1:3">
      <c r="A30">
        <v>-3.0000000000000001E-3</v>
      </c>
      <c r="B30" s="4">
        <v>-657043000</v>
      </c>
      <c r="C30" s="4">
        <v>110299000000</v>
      </c>
    </row>
    <row r="31" spans="1:3">
      <c r="A31">
        <v>-4.0000000000000001E-3</v>
      </c>
      <c r="B31" s="4">
        <v>-757707000</v>
      </c>
      <c r="C31" s="4">
        <v>93285800000</v>
      </c>
    </row>
    <row r="32" spans="1:3">
      <c r="A32">
        <v>-5.0000000000000001E-3</v>
      </c>
      <c r="B32" s="4">
        <v>-846966000</v>
      </c>
      <c r="C32" s="4">
        <v>86336800000</v>
      </c>
    </row>
    <row r="33" spans="1:3">
      <c r="A33">
        <v>-6.0000000000000001E-3</v>
      </c>
      <c r="B33" s="4">
        <v>-931788000</v>
      </c>
      <c r="C33" s="4">
        <v>83726400000</v>
      </c>
    </row>
    <row r="34" spans="1:3">
      <c r="A34">
        <v>-7.0000000000000001E-3</v>
      </c>
      <c r="B34" s="4">
        <v>-1014940000</v>
      </c>
      <c r="C34" s="4">
        <v>82727100000</v>
      </c>
    </row>
    <row r="35" spans="1:3">
      <c r="A35">
        <v>-8.0000000000000002E-3</v>
      </c>
      <c r="B35" s="4">
        <v>-1097440000</v>
      </c>
      <c r="C35" s="4">
        <v>82324700000</v>
      </c>
    </row>
    <row r="36" spans="1:3">
      <c r="A36">
        <v>-8.9999999999999993E-3</v>
      </c>
      <c r="B36" s="4">
        <v>-1179660000</v>
      </c>
      <c r="C36" s="4">
        <v>82153300000</v>
      </c>
    </row>
    <row r="37" spans="1:3">
      <c r="A37">
        <v>-0.01</v>
      </c>
      <c r="B37" s="4">
        <v>-1261770000</v>
      </c>
      <c r="C37" s="4">
        <v>82076300000</v>
      </c>
    </row>
  </sheetData>
  <pageMargins left="0" right="0" top="0.39370000000000011" bottom="0.39370000000000011" header="0" footer="0"/>
  <pageSetup orientation="portrait" horizontalDpi="90" verticalDpi="90" r:id="rId1"/>
  <headerFooter>
    <oddHeader>&amp;C&amp;A</oddHeader>
    <oddFooter>&amp;CPage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3"/>
  <sheetViews>
    <sheetView topLeftCell="A7" workbookViewId="0"/>
  </sheetViews>
  <sheetFormatPr baseColWidth="10" defaultRowHeight="14.25"/>
  <cols>
    <col min="1" max="8" width="10.625" customWidth="1"/>
  </cols>
  <sheetData>
    <row r="1" spans="1:4">
      <c r="B1" s="15" t="s">
        <v>18</v>
      </c>
      <c r="C1" s="15"/>
      <c r="D1" s="15"/>
    </row>
    <row r="2" spans="1:4">
      <c r="B2" s="1" t="s">
        <v>20</v>
      </c>
      <c r="C2" s="1" t="s">
        <v>21</v>
      </c>
      <c r="D2" s="1" t="s">
        <v>22</v>
      </c>
    </row>
    <row r="3" spans="1:4">
      <c r="A3" s="1" t="s">
        <v>23</v>
      </c>
      <c r="B3" s="3">
        <v>0</v>
      </c>
      <c r="C3" s="3">
        <v>0</v>
      </c>
      <c r="D3" s="3">
        <v>0</v>
      </c>
    </row>
    <row r="4" spans="1:4">
      <c r="A4" s="1" t="s">
        <v>24</v>
      </c>
      <c r="B4" s="3">
        <v>164056952076.677</v>
      </c>
      <c r="C4" s="3">
        <v>38044206663.5382</v>
      </c>
      <c r="D4" s="3">
        <v>48251000000</v>
      </c>
    </row>
    <row r="5" spans="1:4">
      <c r="A5" s="1" t="s">
        <v>25</v>
      </c>
      <c r="B5" s="3">
        <v>1996538658146.96</v>
      </c>
      <c r="C5" s="3">
        <v>3765574509619.8999</v>
      </c>
      <c r="D5" s="3">
        <v>3622300000000</v>
      </c>
    </row>
    <row r="6" spans="1:4">
      <c r="A6" s="1" t="s">
        <v>26</v>
      </c>
      <c r="B6" s="3">
        <v>-7902193823216.1904</v>
      </c>
      <c r="C6" s="3">
        <v>-2262870239324261</v>
      </c>
      <c r="D6" s="3">
        <v>-2080250000000000</v>
      </c>
    </row>
    <row r="7" spans="1:4">
      <c r="A7" s="1" t="s">
        <v>27</v>
      </c>
      <c r="B7" s="3">
        <v>-9.7431580404685792E+16</v>
      </c>
      <c r="C7" s="3">
        <v>2.0186399906147299E+17</v>
      </c>
      <c r="D7" s="3">
        <v>1.77623E+17</v>
      </c>
    </row>
    <row r="8" spans="1:4">
      <c r="A8" s="1" t="s">
        <v>28</v>
      </c>
      <c r="B8" s="3">
        <v>0</v>
      </c>
      <c r="C8" s="3">
        <v>0</v>
      </c>
      <c r="D8" s="3">
        <v>0</v>
      </c>
    </row>
    <row r="9" spans="1:4">
      <c r="A9" s="1" t="s">
        <v>29</v>
      </c>
      <c r="B9" s="3">
        <v>0</v>
      </c>
      <c r="C9" s="3">
        <v>0</v>
      </c>
      <c r="D9" s="3">
        <v>0</v>
      </c>
    </row>
    <row r="10" spans="1:4">
      <c r="A10" s="1" t="s">
        <v>30</v>
      </c>
      <c r="B10" s="3">
        <v>188220379126.73099</v>
      </c>
      <c r="C10" s="3">
        <v>59388918442.045998</v>
      </c>
      <c r="D10" s="3">
        <v>69823000000</v>
      </c>
    </row>
    <row r="11" spans="1:4">
      <c r="A11" s="1" t="s">
        <v>77</v>
      </c>
      <c r="B11" s="3">
        <f>0.002*B10</f>
        <v>376440758.25346196</v>
      </c>
      <c r="C11" s="3">
        <f>0.002*C10</f>
        <v>118777836.884092</v>
      </c>
      <c r="D11" s="3">
        <f>0.002*D10</f>
        <v>139646000</v>
      </c>
    </row>
    <row r="12" spans="1:4">
      <c r="A12" s="1" t="s">
        <v>78</v>
      </c>
      <c r="B12" s="3">
        <f>20000000</f>
        <v>20000000</v>
      </c>
      <c r="C12" s="3">
        <f>20000000</f>
        <v>20000000</v>
      </c>
      <c r="D12" s="3">
        <f>20000000</f>
        <v>20000000</v>
      </c>
    </row>
    <row r="13" spans="1:4">
      <c r="A13" s="1" t="s">
        <v>79</v>
      </c>
      <c r="B13">
        <f>-B12/B10</f>
        <v>-1.0625841948035694E-4</v>
      </c>
      <c r="C13">
        <f>-C12/C10</f>
        <v>-3.3676316263473924E-4</v>
      </c>
      <c r="D13">
        <f>-D12/D10</f>
        <v>-2.8643856608853816E-4</v>
      </c>
    </row>
    <row r="15" spans="1:4">
      <c r="A15" s="1" t="s">
        <v>4</v>
      </c>
      <c r="B15" s="1" t="s">
        <v>50</v>
      </c>
      <c r="C15" s="1" t="s">
        <v>80</v>
      </c>
    </row>
    <row r="16" spans="1:4">
      <c r="A16" s="1">
        <v>0</v>
      </c>
      <c r="B16" s="1">
        <f t="shared" ref="B16:B22" si="0">$C$3+$C$4*A16+$C$5*A16^2+$C$6*A16^3++$C$7*A16^4</f>
        <v>0</v>
      </c>
      <c r="C16" s="1">
        <f t="shared" ref="C16:C22" si="1">$C$4+2*$C$5*A16^1+3*$C$6*A16^2+4*$C$7*A16^3</f>
        <v>38044206663.5382</v>
      </c>
    </row>
    <row r="17" spans="1:8">
      <c r="A17" s="1">
        <v>5.0000000000000001E-4</v>
      </c>
      <c r="B17" s="1">
        <f t="shared" si="0"/>
        <v>19693254.679199886</v>
      </c>
      <c r="C17" s="1">
        <f t="shared" si="1"/>
        <v>40213560493.195641</v>
      </c>
    </row>
    <row r="18" spans="1:8">
      <c r="A18" s="1">
        <v>1E-3</v>
      </c>
      <c r="B18" s="1">
        <f t="shared" si="0"/>
        <v>39748774.93289531</v>
      </c>
      <c r="C18" s="1">
        <f t="shared" si="1"/>
        <v>39594200961.051109</v>
      </c>
    </row>
    <row r="19" spans="1:8">
      <c r="A19" s="1">
        <v>1.5E-3</v>
      </c>
      <c r="B19" s="1">
        <f t="shared" si="0"/>
        <v>58923602.079481408</v>
      </c>
      <c r="C19" s="1">
        <f t="shared" si="1"/>
        <v>36791720064.289024</v>
      </c>
    </row>
    <row r="20" spans="1:8">
      <c r="A20" s="1">
        <v>2E-3</v>
      </c>
      <c r="B20" s="1">
        <f t="shared" si="0"/>
        <v>76277573.435945481</v>
      </c>
      <c r="C20" s="1">
        <f t="shared" si="1"/>
        <v>32411709800.093803</v>
      </c>
    </row>
    <row r="21" spans="1:8">
      <c r="A21" s="1">
        <v>2.5000000000000001E-3</v>
      </c>
      <c r="B21" s="1">
        <f t="shared" si="0"/>
        <v>91173322.3178671</v>
      </c>
      <c r="C21" s="1">
        <f t="shared" si="1"/>
        <v>27059762165.649864</v>
      </c>
    </row>
    <row r="22" spans="1:8">
      <c r="A22" s="1">
        <v>3.0000000000000001E-3</v>
      </c>
      <c r="B22" s="1">
        <f t="shared" si="0"/>
        <v>103276278.03941798</v>
      </c>
      <c r="C22" s="1">
        <f t="shared" si="1"/>
        <v>21341469158.141632</v>
      </c>
    </row>
    <row r="23" spans="1:8">
      <c r="E23" s="1" t="s">
        <v>81</v>
      </c>
      <c r="F23" s="1" t="s">
        <v>62</v>
      </c>
      <c r="G23" s="1" t="s">
        <v>3</v>
      </c>
      <c r="H23" s="1" t="s">
        <v>41</v>
      </c>
    </row>
    <row r="24" spans="1:8">
      <c r="E24" s="1">
        <f>(B22+C12-A22*C10+C13*C11)/(C11-C10)</f>
        <v>9.2678162605769234E-4</v>
      </c>
      <c r="F24" s="1">
        <f>(E24-C13)*C11-C12</f>
        <v>-19849918.883192945</v>
      </c>
      <c r="G24" s="1">
        <f>C11/C10</f>
        <v>2E-3</v>
      </c>
      <c r="H24" s="1">
        <v>10</v>
      </c>
    </row>
    <row r="26" spans="1:8">
      <c r="A26" s="1" t="s">
        <v>4</v>
      </c>
      <c r="B26" s="1" t="s">
        <v>82</v>
      </c>
      <c r="C26" s="1" t="s">
        <v>83</v>
      </c>
      <c r="D26" s="1" t="s">
        <v>50</v>
      </c>
    </row>
    <row r="27" spans="1:8">
      <c r="A27" s="1">
        <v>3.0000000000000001E-3</v>
      </c>
      <c r="B27">
        <f t="shared" ref="B27:B37" si="2">(A27-$A$22)/($E$24-$A$22)</f>
        <v>0</v>
      </c>
      <c r="C27">
        <f t="shared" ref="C27:C37" si="3">$G$24*B27+((1-$G$24)*B27)/((1+B27^$H$24)^(1/$H$24))</f>
        <v>0</v>
      </c>
      <c r="D27">
        <f t="shared" ref="D27:D37" si="4">C27*($F$24-$B$22)+$B$22</f>
        <v>103276278.03941798</v>
      </c>
    </row>
    <row r="28" spans="1:8">
      <c r="A28" s="1">
        <v>2.8E-3</v>
      </c>
      <c r="B28">
        <f t="shared" si="2"/>
        <v>9.646837135621758E-2</v>
      </c>
      <c r="C28">
        <f t="shared" si="3"/>
        <v>9.6468371355545576E-2</v>
      </c>
      <c r="D28">
        <f t="shared" si="4"/>
        <v>91398494.351091519</v>
      </c>
    </row>
    <row r="29" spans="1:8">
      <c r="A29" s="1">
        <v>2.5999999999999999E-3</v>
      </c>
      <c r="B29">
        <f t="shared" si="2"/>
        <v>0.19293674271243516</v>
      </c>
      <c r="C29">
        <f t="shared" si="3"/>
        <v>0.1929367413361929</v>
      </c>
      <c r="D29">
        <f t="shared" si="4"/>
        <v>79520710.832051039</v>
      </c>
    </row>
    <row r="30" spans="1:8">
      <c r="A30" s="1">
        <v>2.3999999999999998E-3</v>
      </c>
      <c r="B30">
        <f t="shared" si="2"/>
        <v>0.28940511406865271</v>
      </c>
      <c r="C30">
        <f t="shared" si="3"/>
        <v>0.2894049950273227</v>
      </c>
      <c r="D30">
        <f t="shared" si="4"/>
        <v>67642941.631296605</v>
      </c>
    </row>
    <row r="31" spans="1:8">
      <c r="A31" s="1">
        <v>2.2000000000000001E-3</v>
      </c>
      <c r="B31">
        <f t="shared" si="2"/>
        <v>0.3858734854248701</v>
      </c>
      <c r="C31">
        <f t="shared" si="3"/>
        <v>0.38587066699407069</v>
      </c>
      <c r="D31">
        <f t="shared" si="4"/>
        <v>55765490.30844681</v>
      </c>
    </row>
    <row r="32" spans="1:8">
      <c r="A32" s="1">
        <v>2E-3</v>
      </c>
      <c r="B32">
        <f t="shared" si="2"/>
        <v>0.48234185678108771</v>
      </c>
      <c r="C32">
        <f t="shared" si="3"/>
        <v>0.48230905690279408</v>
      </c>
      <c r="D32">
        <f t="shared" si="4"/>
        <v>43891398.121645801</v>
      </c>
    </row>
    <row r="33" spans="1:8">
      <c r="A33" s="1">
        <v>1.8E-3</v>
      </c>
      <c r="B33">
        <f t="shared" si="2"/>
        <v>0.5788102281373052</v>
      </c>
      <c r="C33">
        <f t="shared" si="3"/>
        <v>0.57856699519206201</v>
      </c>
      <c r="D33">
        <f t="shared" si="4"/>
        <v>32039524.256476864</v>
      </c>
    </row>
    <row r="34" spans="1:8">
      <c r="A34" s="1">
        <v>1.6000000000000001E-3</v>
      </c>
      <c r="B34">
        <f t="shared" si="2"/>
        <v>0.67527859949352276</v>
      </c>
      <c r="C34">
        <f t="shared" si="3"/>
        <v>0.67396406233204331</v>
      </c>
      <c r="D34">
        <f t="shared" si="4"/>
        <v>20293646.181959987</v>
      </c>
    </row>
    <row r="35" spans="1:8">
      <c r="A35" s="1">
        <v>1.4E-3</v>
      </c>
      <c r="B35">
        <f t="shared" si="2"/>
        <v>0.77174697084974031</v>
      </c>
      <c r="C35">
        <f t="shared" si="3"/>
        <v>0.76620073216914775</v>
      </c>
      <c r="D35">
        <f t="shared" si="4"/>
        <v>8936895.8081108332</v>
      </c>
    </row>
    <row r="36" spans="1:8">
      <c r="A36" s="1">
        <v>1.1999999999999999E-3</v>
      </c>
      <c r="B36">
        <f t="shared" si="2"/>
        <v>0.86821534220595786</v>
      </c>
      <c r="C36">
        <f t="shared" si="3"/>
        <v>0.84954501899752854</v>
      </c>
      <c r="D36">
        <f t="shared" si="4"/>
        <v>-1324969.2642949522</v>
      </c>
    </row>
    <row r="37" spans="1:8">
      <c r="A37" s="1">
        <v>1E-3</v>
      </c>
      <c r="B37">
        <f t="shared" si="2"/>
        <v>0.96468371356217542</v>
      </c>
      <c r="C37">
        <f t="shared" si="3"/>
        <v>0.91503698128483679</v>
      </c>
      <c r="D37">
        <f t="shared" si="4"/>
        <v>-9388745.5097302794</v>
      </c>
    </row>
    <row r="39" spans="1:8">
      <c r="E39" s="1" t="s">
        <v>81</v>
      </c>
      <c r="F39" s="1" t="s">
        <v>62</v>
      </c>
      <c r="G39" s="1" t="s">
        <v>3</v>
      </c>
      <c r="H39" s="1" t="s">
        <v>41</v>
      </c>
    </row>
    <row r="40" spans="1:8">
      <c r="E40" s="1">
        <f>(B22-D37-A22*C22+A37*C10)/(C10-C22)</f>
        <v>2.8393371053777919E-3</v>
      </c>
      <c r="F40" s="1">
        <f>(E40-A37)*C10+D37</f>
        <v>99847495.828980371</v>
      </c>
      <c r="G40" s="1">
        <f>C22/C10</f>
        <v>0.35935103244837607</v>
      </c>
      <c r="H40" s="1">
        <v>10</v>
      </c>
    </row>
    <row r="42" spans="1:8">
      <c r="A42" s="1" t="s">
        <v>4</v>
      </c>
      <c r="B42" s="1" t="s">
        <v>82</v>
      </c>
      <c r="C42" s="1" t="s">
        <v>83</v>
      </c>
      <c r="D42" s="1" t="s">
        <v>50</v>
      </c>
    </row>
    <row r="43" spans="1:8">
      <c r="A43" s="1">
        <v>1E-3</v>
      </c>
      <c r="B43" s="1">
        <f t="shared" ref="B43:B53" si="5">(A43-$A$37)/($E$40-$A$37)</f>
        <v>0</v>
      </c>
      <c r="C43">
        <f t="shared" ref="C43:C53" si="6">$G$40*B43+((1-$G$40)*B43)/((1+B43^$H$40)^(1/$H$40))</f>
        <v>0</v>
      </c>
      <c r="D43">
        <f t="shared" ref="D43:D53" si="7">C43*($F$40-$D$37)+$D$37</f>
        <v>-9388745.5097302794</v>
      </c>
    </row>
    <row r="44" spans="1:8">
      <c r="A44" s="1">
        <v>1.2999999999999999E-3</v>
      </c>
      <c r="B44" s="1">
        <f t="shared" si="5"/>
        <v>0.16310223891143719</v>
      </c>
      <c r="C44">
        <f t="shared" si="6"/>
        <v>0.16310223877222435</v>
      </c>
      <c r="D44">
        <f t="shared" si="7"/>
        <v>8427930.00767643</v>
      </c>
    </row>
    <row r="45" spans="1:8">
      <c r="A45" s="1">
        <v>1.6000000000000001E-3</v>
      </c>
      <c r="B45" s="1">
        <f t="shared" si="5"/>
        <v>0.32620447782287448</v>
      </c>
      <c r="C45">
        <f t="shared" si="6"/>
        <v>0.32620419271712631</v>
      </c>
      <c r="D45">
        <f t="shared" si="7"/>
        <v>26244574.411617011</v>
      </c>
    </row>
    <row r="46" spans="1:8">
      <c r="A46" s="1">
        <v>1.9E-3</v>
      </c>
      <c r="B46" s="1">
        <f t="shared" si="5"/>
        <v>0.48930671673431164</v>
      </c>
      <c r="C46">
        <f t="shared" si="6"/>
        <v>0.48928206626280624</v>
      </c>
      <c r="D46">
        <f t="shared" si="7"/>
        <v>44058588.363256641</v>
      </c>
    </row>
    <row r="47" spans="1:8">
      <c r="A47" s="1">
        <v>2.2000000000000001E-3</v>
      </c>
      <c r="B47" s="1">
        <f t="shared" si="5"/>
        <v>0.65240895564574897</v>
      </c>
      <c r="C47">
        <f t="shared" si="6"/>
        <v>0.65182949771999232</v>
      </c>
      <c r="D47">
        <f t="shared" si="7"/>
        <v>61814658.814901352</v>
      </c>
    </row>
    <row r="48" spans="1:8">
      <c r="A48" s="1">
        <v>2.5000000000000001E-3</v>
      </c>
      <c r="B48" s="1">
        <f t="shared" si="5"/>
        <v>0.81551119455718613</v>
      </c>
      <c r="C48">
        <f t="shared" si="6"/>
        <v>0.80915984988041056</v>
      </c>
      <c r="D48">
        <f t="shared" si="7"/>
        <v>79000835.133401126</v>
      </c>
    </row>
    <row r="49" spans="1:4">
      <c r="A49" s="1">
        <v>2.8E-3</v>
      </c>
      <c r="B49" s="1">
        <f t="shared" si="5"/>
        <v>0.97861343346862328</v>
      </c>
      <c r="C49">
        <f t="shared" si="6"/>
        <v>0.9426412708474512</v>
      </c>
      <c r="D49">
        <f t="shared" si="7"/>
        <v>93581843.848390818</v>
      </c>
    </row>
    <row r="50" spans="1:4">
      <c r="A50" s="1">
        <v>3.0999999999999999E-3</v>
      </c>
      <c r="B50" s="1">
        <f t="shared" si="5"/>
        <v>1.1417156723800606</v>
      </c>
      <c r="C50">
        <f t="shared" si="6"/>
        <v>1.0360059424367749</v>
      </c>
      <c r="D50">
        <f t="shared" si="7"/>
        <v>103780649.64663164</v>
      </c>
    </row>
    <row r="51" spans="1:4">
      <c r="A51" s="1">
        <v>3.3999999999999998E-3</v>
      </c>
      <c r="B51" s="1">
        <f t="shared" si="5"/>
        <v>1.3048179112914977</v>
      </c>
      <c r="C51">
        <f t="shared" si="6"/>
        <v>1.1052224374197861</v>
      </c>
      <c r="D51">
        <f t="shared" si="7"/>
        <v>111341599.3972155</v>
      </c>
    </row>
    <row r="52" spans="1:4">
      <c r="A52" s="1">
        <v>3.7000000000000002E-3</v>
      </c>
      <c r="B52" s="1">
        <f t="shared" si="5"/>
        <v>1.4679201502029351</v>
      </c>
      <c r="C52">
        <f t="shared" si="6"/>
        <v>1.1667845749534331</v>
      </c>
      <c r="D52">
        <f t="shared" si="7"/>
        <v>118066415.91016787</v>
      </c>
    </row>
    <row r="53" spans="1:4">
      <c r="A53" s="1">
        <v>4.0000000000000001E-3</v>
      </c>
      <c r="B53" s="1">
        <f t="shared" si="5"/>
        <v>1.6310223891143723</v>
      </c>
      <c r="C53">
        <f t="shared" si="6"/>
        <v>1.22627965927231</v>
      </c>
      <c r="D53">
        <f t="shared" si="7"/>
        <v>124565435.29929164</v>
      </c>
    </row>
  </sheetData>
  <mergeCells count="1">
    <mergeCell ref="B1:D1"/>
  </mergeCells>
  <pageMargins left="0" right="0" top="0.39370000000000011" bottom="0.39370000000000011" header="0" footer="0"/>
  <pageSetup orientation="portrait" horizontalDpi="90" verticalDpi="90" r:id="rId1"/>
  <headerFooter>
    <oddHeader>&amp;C&amp;A</oddHeader>
    <oddFooter>&amp;CPage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tabSelected="1" workbookViewId="0">
      <selection activeCell="G2" sqref="G2"/>
    </sheetView>
  </sheetViews>
  <sheetFormatPr baseColWidth="10" defaultRowHeight="14.25"/>
  <sheetData>
    <row r="1" spans="1:7">
      <c r="A1" s="1" t="s">
        <v>84</v>
      </c>
      <c r="B1" s="1" t="s">
        <v>50</v>
      </c>
      <c r="C1" s="1" t="s">
        <v>61</v>
      </c>
      <c r="D1" s="1" t="s">
        <v>32</v>
      </c>
      <c r="E1" s="1" t="s">
        <v>33</v>
      </c>
      <c r="F1" s="1" t="s">
        <v>107</v>
      </c>
      <c r="G1" s="1" t="s">
        <v>108</v>
      </c>
    </row>
    <row r="2" spans="1:7">
      <c r="A2" s="1">
        <v>0</v>
      </c>
      <c r="B2" s="8">
        <v>121800000</v>
      </c>
      <c r="C2" s="1">
        <v>20</v>
      </c>
      <c r="D2">
        <v>0</v>
      </c>
      <c r="E2">
        <v>0</v>
      </c>
    </row>
    <row r="3" spans="1:7">
      <c r="A3">
        <v>100</v>
      </c>
      <c r="B3" s="8">
        <v>121800000</v>
      </c>
      <c r="C3" s="1">
        <v>20</v>
      </c>
      <c r="D3" t="s">
        <v>87</v>
      </c>
      <c r="E3" t="s">
        <v>97</v>
      </c>
    </row>
    <row r="4" spans="1:7">
      <c r="A4">
        <v>500</v>
      </c>
      <c r="B4" s="8">
        <v>121800000</v>
      </c>
      <c r="C4" s="1">
        <v>20</v>
      </c>
      <c r="D4" t="s">
        <v>88</v>
      </c>
      <c r="E4" t="s">
        <v>98</v>
      </c>
    </row>
    <row r="5" spans="1:7">
      <c r="A5">
        <v>1000</v>
      </c>
      <c r="B5" s="8">
        <v>121800000</v>
      </c>
      <c r="C5" s="1">
        <v>20</v>
      </c>
      <c r="D5" t="s">
        <v>89</v>
      </c>
      <c r="E5" t="s">
        <v>99</v>
      </c>
    </row>
    <row r="6" spans="1:7">
      <c r="A6">
        <v>2000</v>
      </c>
      <c r="B6" s="8">
        <v>121800000</v>
      </c>
      <c r="C6" s="1">
        <v>20</v>
      </c>
      <c r="D6" t="s">
        <v>90</v>
      </c>
      <c r="E6" t="s">
        <v>100</v>
      </c>
    </row>
    <row r="7" spans="1:7">
      <c r="A7">
        <v>3000</v>
      </c>
      <c r="B7" s="8">
        <v>121800000</v>
      </c>
      <c r="C7" s="1">
        <v>20</v>
      </c>
      <c r="D7" t="s">
        <v>91</v>
      </c>
      <c r="E7" t="s">
        <v>101</v>
      </c>
    </row>
    <row r="8" spans="1:7">
      <c r="A8">
        <v>4000</v>
      </c>
      <c r="B8" s="8">
        <v>121800000</v>
      </c>
      <c r="C8" s="1">
        <v>20</v>
      </c>
      <c r="D8" t="s">
        <v>92</v>
      </c>
      <c r="E8" t="s">
        <v>102</v>
      </c>
    </row>
    <row r="9" spans="1:7">
      <c r="A9">
        <v>5000</v>
      </c>
      <c r="B9" s="8">
        <v>121800000</v>
      </c>
      <c r="C9" s="1">
        <v>20</v>
      </c>
      <c r="D9" t="s">
        <v>93</v>
      </c>
      <c r="E9" t="s">
        <v>103</v>
      </c>
    </row>
    <row r="10" spans="1:7">
      <c r="A10">
        <v>6000</v>
      </c>
      <c r="B10" s="8">
        <v>121800000</v>
      </c>
      <c r="C10" s="1">
        <v>20</v>
      </c>
      <c r="D10" t="s">
        <v>94</v>
      </c>
      <c r="E10" t="s">
        <v>104</v>
      </c>
    </row>
    <row r="11" spans="1:7">
      <c r="A11">
        <v>8760</v>
      </c>
      <c r="B11" s="8">
        <v>121800000</v>
      </c>
      <c r="C11" s="1">
        <v>20</v>
      </c>
      <c r="D11" t="s">
        <v>95</v>
      </c>
      <c r="E11" t="s">
        <v>105</v>
      </c>
    </row>
    <row r="12" spans="1:7">
      <c r="A12">
        <v>87600</v>
      </c>
      <c r="B12" s="8">
        <v>121800000</v>
      </c>
      <c r="C12" s="1">
        <v>20</v>
      </c>
      <c r="D12" t="s">
        <v>96</v>
      </c>
      <c r="E12" t="s">
        <v>106</v>
      </c>
    </row>
    <row r="14" spans="1:7">
      <c r="A14" t="s">
        <v>85</v>
      </c>
    </row>
    <row r="15" spans="1:7">
      <c r="A15" t="s">
        <v>86</v>
      </c>
    </row>
  </sheetData>
  <pageMargins left="0.7" right="0.7" top="0.75" bottom="0.75" header="0.3" footer="0.3"/>
  <pageSetup orientation="portrait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626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Bersfort-Creep</vt:lpstr>
      <vt:lpstr>Bersfort-SS</vt:lpstr>
      <vt:lpstr>Sheet3</vt:lpstr>
      <vt:lpstr>Sheet4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L.Desrochers, Alexis</cp:lastModifiedBy>
  <cp:revision>3</cp:revision>
  <dcterms:created xsi:type="dcterms:W3CDTF">2021-06-19T20:17:43Z</dcterms:created>
  <dcterms:modified xsi:type="dcterms:W3CDTF">2021-06-23T12:01:32Z</dcterms:modified>
</cp:coreProperties>
</file>